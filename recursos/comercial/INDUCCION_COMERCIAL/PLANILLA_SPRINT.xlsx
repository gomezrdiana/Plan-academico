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RO MAESTRO" sheetId="1" state="visible" r:id="rId1"/>
    <sheet xmlns:r="http://schemas.openxmlformats.org/officeDocument/2006/relationships" name="TERMÓMETRO" sheetId="2" state="visible" r:id="rId2"/>
  </sheets>
  <definedNames/>
  <calcPr calcId="124519" fullCalcOnLoad="1"/>
</workbook>
</file>

<file path=xl/styles.xml><?xml version="1.0" encoding="utf-8"?>
<styleSheet xmlns="http://schemas.openxmlformats.org/spreadsheetml/2006/main">
  <numFmts count="3">
    <numFmt numFmtId="164" formatCode="DD/MM/YYYY"/>
    <numFmt numFmtId="165" formatCode="DD/MM/YYYY HH:MM"/>
    <numFmt numFmtId="166" formatCode="yyyy-mm-dd"/>
  </numFmts>
  <fonts count="11">
    <font>
      <name val="Calibri"/>
      <family val="2"/>
      <color theme="1"/>
      <sz val="11"/>
      <scheme val="minor"/>
    </font>
    <font>
      <b val="1"/>
      <color rgb="00C00000"/>
      <sz val="10"/>
    </font>
    <font>
      <b val="1"/>
      <color rgb="00FFFFFF"/>
      <sz val="11"/>
    </font>
    <font>
      <sz val="11"/>
    </font>
    <font>
      <b val="1"/>
      <sz val="11"/>
    </font>
    <font>
      <b val="1"/>
      <sz val="10"/>
    </font>
    <font>
      <sz val="10"/>
    </font>
    <font>
      <b val="1"/>
      <color rgb="00FFFFFF"/>
    </font>
    <font>
      <i val="1"/>
      <color rgb="00777777"/>
    </font>
    <font>
      <b val="1"/>
    </font>
    <font>
      <b val="1"/>
      <sz val="12"/>
    </font>
  </fonts>
  <fills count="4">
    <fill>
      <patternFill/>
    </fill>
    <fill>
      <patternFill patternType="gray125"/>
    </fill>
    <fill>
      <patternFill patternType="solid">
        <fgColor rgb="00E54C09"/>
      </patternFill>
    </fill>
    <fill>
      <patternFill patternType="solid">
        <fgColor rgb="00FFF8E7"/>
      </patternFill>
    </fill>
  </fills>
  <borders count="2">
    <border>
      <left/>
      <right/>
      <top/>
      <bottom/>
      <diagonal/>
    </border>
    <border>
      <left style="thin"/>
      <right style="thin"/>
      <top style="thin"/>
      <bottom style="thin"/>
    </border>
  </borders>
  <cellStyleXfs count="1">
    <xf numFmtId="0" fontId="0" fillId="0" borderId="0"/>
  </cellStyleXfs>
  <cellXfs count="21">
    <xf numFmtId="0" fontId="0" fillId="0" borderId="0" pivotButton="0" quotePrefix="0" xfId="0"/>
    <xf numFmtId="0" fontId="1" fillId="0" borderId="0" pivotButton="0" quotePrefix="0" xfId="0"/>
    <xf numFmtId="0" fontId="2" fillId="2" borderId="1" pivotButton="0" quotePrefix="0" xfId="0"/>
    <xf numFmtId="0" fontId="3" fillId="3" borderId="1" pivotButton="0" quotePrefix="0" xfId="0"/>
    <xf numFmtId="0" fontId="4" fillId="3" borderId="1" pivotButton="0" quotePrefix="0" xfId="0"/>
    <xf numFmtId="0" fontId="0" fillId="0" borderId="1" pivotButton="0" quotePrefix="0" xfId="0"/>
    <xf numFmtId="0" fontId="3" fillId="0" borderId="1"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7" fillId="2" borderId="0" applyAlignment="1" pivotButton="0" quotePrefix="0" xfId="0">
      <alignment vertical="center" wrapText="1"/>
    </xf>
    <xf numFmtId="0" fontId="8" fillId="0" borderId="0" pivotButton="0" quotePrefix="0" xfId="0"/>
    <xf numFmtId="0" fontId="9" fillId="3" borderId="0" pivotButton="0" quotePrefix="0" xfId="0"/>
    <xf numFmtId="0" fontId="10" fillId="0" borderId="0" pivotButton="0" quotePrefix="0" xfId="0"/>
    <xf numFmtId="0" fontId="7" fillId="2" borderId="0" applyAlignment="1" pivotButton="0" quotePrefix="0" xfId="0">
      <alignment horizontal="center" wrapText="1"/>
    </xf>
    <xf numFmtId="0" fontId="0" fillId="0" borderId="0" applyAlignment="1" pivotButton="0" quotePrefix="0" xfId="0">
      <alignment horizontal="center"/>
    </xf>
    <xf numFmtId="0" fontId="0" fillId="0" borderId="0" applyAlignment="1" pivotButton="0" quotePrefix="0" xfId="0">
      <alignment vertical="top" wrapText="1"/>
    </xf>
    <xf numFmtId="164" fontId="8" fillId="0" borderId="0" pivotButton="0" quotePrefix="0" xfId="0"/>
    <xf numFmtId="165" fontId="8" fillId="0" borderId="0" pivotButton="0" quotePrefix="0" xfId="0"/>
    <xf numFmtId="164" fontId="0" fillId="0" borderId="0" pivotButton="0" quotePrefix="0" xfId="0"/>
    <xf numFmtId="165" fontId="0" fillId="0" borderId="0" pivotButton="0" quotePrefix="0" xfId="0"/>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500"/>
  <sheetViews>
    <sheetView workbookViewId="0">
      <pane ySplit="3" topLeftCell="A4" activePane="bottomLeft" state="frozen"/>
      <selection pane="bottomLeft" activeCell="A1" sqref="A1"/>
    </sheetView>
  </sheetViews>
  <sheetFormatPr baseColWidth="8" defaultRowHeight="15"/>
  <cols>
    <col width="14" customWidth="1" min="1" max="1"/>
    <col width="24" customWidth="1" min="2" max="2"/>
    <col width="14" customWidth="1" min="3" max="3"/>
    <col width="18" customWidth="1" min="4" max="4"/>
    <col width="30" customWidth="1" min="5" max="5"/>
    <col width="12" customWidth="1" min="6" max="6"/>
    <col width="16" customWidth="1" min="7" max="7"/>
    <col width="16" customWidth="1" min="8" max="8"/>
    <col width="18" customWidth="1" min="9" max="9"/>
    <col width="12" customWidth="1" min="10" max="10"/>
    <col width="34" customWidth="1" min="11" max="11"/>
    <col width="14" customWidth="1" min="12" max="12"/>
    <col width="16" customWidth="1" min="13" max="13"/>
    <col width="12" customWidth="1" min="14" max="14"/>
    <col width="34" customWidth="1" min="15" max="15"/>
  </cols>
  <sheetData>
    <row r="1" ht="55" customHeight="1">
      <c r="A1" s="7" t="inlineStr">
        <is>
          <t>TODO contacto entra AQUÍ desde el primer mensaje o llamada, venga del bot, de la línea de Paula, de gerencia, de un colegio, una empresa o un referido. Esta hoja define de quién es cada cliente y liquida las comisiones: lo que no está aquí, no existe. Si dos vendedores tocan al mismo cliente, es de quien lo registró primero. Rutina diaria: filtrar la columna "próximo paso" por HOY y llamar; la fecha de vencimiento SE CUMPLE.</t>
        </is>
      </c>
    </row>
    <row r="2" ht="28" customHeight="1">
      <c r="A2" s="8" t="inlineStr">
        <is>
          <t>Las fechas se escriben como fecha (22/09/2026), no como texto: de eso depende que el termómetro cuente solo. Las columnas con LISTA: clic EN la celda y aparece la flechita. En Vista protegida: HABILITAR EDICIÓN.</t>
        </is>
      </c>
    </row>
    <row r="3" ht="32" customHeight="1">
      <c r="A3" s="9" t="inlineStr">
        <is>
          <t>Fecha 1er contacto (dd/mm/aaaa)</t>
        </is>
      </c>
      <c r="B3" s="9" t="inlineStr">
        <is>
          <t>Nombre y APELLIDO</t>
        </is>
      </c>
      <c r="C3" s="9" t="inlineStr">
        <is>
          <t>Teléfono</t>
        </is>
      </c>
      <c r="D3" s="9" t="inlineStr">
        <is>
          <t>Canal de llegada</t>
        </is>
      </c>
      <c r="E3" s="9" t="inlineStr">
        <is>
          <t>Detalle del origen (qué colegio / empresa / grupo / quién refirió / si es OTRO, cuál)</t>
        </is>
      </c>
      <c r="F3" s="9" t="inlineStr">
        <is>
          <t>Quién lo atiende</t>
        </is>
      </c>
      <c r="G3" s="9" t="inlineStr">
        <is>
          <t>Cajasan (S/N)</t>
        </is>
      </c>
      <c r="H3" s="9" t="inlineStr">
        <is>
          <t>EF SET (puntaje / nivel)</t>
        </is>
      </c>
      <c r="I3" s="9" t="inlineStr">
        <is>
          <t>Cita (fecha y hora)</t>
        </is>
      </c>
      <c r="J3" s="9" t="inlineStr">
        <is>
          <t>Asistió a la cita (S/N)</t>
        </is>
      </c>
      <c r="K3" s="9" t="inlineStr">
        <is>
          <t>Estado</t>
        </is>
      </c>
      <c r="L3" s="9" t="inlineStr">
        <is>
          <t>Qué se ofreció ($ y programa) + VENCE (fecha 6 PM)</t>
        </is>
      </c>
      <c r="M3" s="9" t="inlineStr">
        <is>
          <t>Abono $300k (fecha)</t>
        </is>
      </c>
      <c r="N3" s="9" t="inlineStr">
        <is>
          <t>Matrícula (fecha)</t>
        </is>
      </c>
      <c r="O3" s="9" t="inlineStr">
        <is>
          <t>Recaudo a caja ($)</t>
        </is>
      </c>
      <c r="P3" s="9" t="inlineStr">
        <is>
          <t>Comisión (%)</t>
        </is>
      </c>
      <c r="Q3" s="9" t="inlineStr">
        <is>
          <t>Motivo real / próximo paso (con fecha)</t>
        </is>
      </c>
    </row>
    <row r="4">
      <c r="A4" s="16" t="n">
        <v>46287</v>
      </c>
      <c r="B4" s="10" t="inlineStr">
        <is>
          <t>Andrea Flórez</t>
        </is>
      </c>
      <c r="C4" s="10" t="inlineStr">
        <is>
          <t>300 000 0000</t>
        </is>
      </c>
      <c r="D4" s="10" t="inlineStr">
        <is>
          <t>GERENCIA</t>
        </is>
      </c>
      <c r="E4" s="10" t="inlineStr">
        <is>
          <t>(vacío: llegó por lead pago)</t>
        </is>
      </c>
      <c r="F4" s="10" t="inlineStr">
        <is>
          <t>PAULA</t>
        </is>
      </c>
      <c r="G4" s="10" t="inlineStr">
        <is>
          <t>N</t>
        </is>
      </c>
      <c r="H4" s="10" t="inlineStr">
        <is>
          <t>48 / A2</t>
        </is>
      </c>
      <c r="I4" s="17" t="n">
        <v>46289.79166666666</v>
      </c>
      <c r="J4" t="inlineStr"/>
      <c r="K4" s="10" t="inlineStr">
        <is>
          <t>CITA AGENDADA</t>
        </is>
      </c>
      <c r="L4" s="10" t="inlineStr">
        <is>
          <t>Arranque $2.990.000 · vence 25/09 6PM</t>
        </is>
      </c>
      <c r="M4" s="16" t="n"/>
      <c r="N4" s="16" t="n"/>
      <c r="O4" s="10" t="n"/>
      <c r="P4" s="10" t="inlineStr">
        <is>
          <t>5</t>
        </is>
      </c>
      <c r="Q4" s="10" t="inlineStr">
        <is>
          <t>Tibio de la casa asignado a Paula el 22/09; contado en octubre</t>
        </is>
      </c>
    </row>
    <row r="5">
      <c r="A5" s="18" t="n"/>
      <c r="I5" s="19" t="n"/>
      <c r="M5" s="18" t="n"/>
      <c r="N5" s="18" t="n"/>
    </row>
    <row r="6">
      <c r="A6" s="18" t="n"/>
      <c r="I6" s="19" t="n"/>
      <c r="M6" s="18" t="n"/>
      <c r="N6" s="18" t="n"/>
    </row>
    <row r="7">
      <c r="A7" s="18" t="n"/>
      <c r="I7" s="19" t="n"/>
      <c r="M7" s="18" t="n"/>
      <c r="N7" s="18" t="n"/>
    </row>
    <row r="8">
      <c r="A8" s="18" t="n"/>
      <c r="I8" s="19" t="n"/>
      <c r="M8" s="18" t="n"/>
      <c r="N8" s="18" t="n"/>
    </row>
    <row r="9">
      <c r="A9" s="18" t="n"/>
      <c r="I9" s="19" t="n"/>
      <c r="M9" s="18" t="n"/>
      <c r="N9" s="18" t="n"/>
    </row>
    <row r="10">
      <c r="A10" s="18" t="n"/>
      <c r="I10" s="19" t="n"/>
      <c r="M10" s="18" t="n"/>
      <c r="N10" s="18" t="n"/>
    </row>
    <row r="11">
      <c r="A11" s="18" t="n"/>
      <c r="I11" s="19" t="n"/>
      <c r="M11" s="18" t="n"/>
      <c r="N11" s="18" t="n"/>
    </row>
    <row r="12">
      <c r="A12" s="18" t="n"/>
      <c r="I12" s="19" t="n"/>
      <c r="M12" s="18" t="n"/>
      <c r="N12" s="18" t="n"/>
    </row>
    <row r="13">
      <c r="A13" s="18" t="n"/>
      <c r="I13" s="19" t="n"/>
      <c r="M13" s="18" t="n"/>
      <c r="N13" s="18" t="n"/>
    </row>
    <row r="14">
      <c r="A14" s="18" t="n"/>
      <c r="I14" s="19" t="n"/>
      <c r="M14" s="18" t="n"/>
      <c r="N14" s="18" t="n"/>
    </row>
    <row r="15">
      <c r="A15" s="18" t="n"/>
      <c r="I15" s="19" t="n"/>
      <c r="M15" s="18" t="n"/>
      <c r="N15" s="18" t="n"/>
    </row>
    <row r="16">
      <c r="A16" s="18" t="n"/>
      <c r="I16" s="19" t="n"/>
      <c r="M16" s="18" t="n"/>
      <c r="N16" s="18" t="n"/>
    </row>
    <row r="17">
      <c r="A17" s="18" t="n"/>
      <c r="I17" s="19" t="n"/>
      <c r="M17" s="18" t="n"/>
      <c r="N17" s="18" t="n"/>
    </row>
    <row r="18">
      <c r="A18" s="18" t="n"/>
      <c r="I18" s="19" t="n"/>
      <c r="M18" s="18" t="n"/>
      <c r="N18" s="18" t="n"/>
    </row>
    <row r="19">
      <c r="A19" s="18" t="n"/>
      <c r="I19" s="19" t="n"/>
      <c r="M19" s="18" t="n"/>
      <c r="N19" s="18" t="n"/>
    </row>
    <row r="20">
      <c r="A20" s="18" t="n"/>
      <c r="I20" s="19" t="n"/>
      <c r="M20" s="18" t="n"/>
      <c r="N20" s="18" t="n"/>
    </row>
    <row r="21">
      <c r="A21" s="18" t="n"/>
      <c r="I21" s="19" t="n"/>
      <c r="M21" s="18" t="n"/>
      <c r="N21" s="18" t="n"/>
    </row>
    <row r="22">
      <c r="A22" s="18" t="n"/>
      <c r="I22" s="19" t="n"/>
      <c r="M22" s="18" t="n"/>
      <c r="N22" s="18" t="n"/>
    </row>
    <row r="23">
      <c r="A23" s="18" t="n"/>
      <c r="I23" s="19" t="n"/>
      <c r="M23" s="18" t="n"/>
      <c r="N23" s="18" t="n"/>
    </row>
    <row r="24">
      <c r="A24" s="18" t="n"/>
      <c r="I24" s="19" t="n"/>
      <c r="M24" s="18" t="n"/>
      <c r="N24" s="18" t="n"/>
    </row>
    <row r="25">
      <c r="A25" s="18" t="n"/>
      <c r="I25" s="19" t="n"/>
      <c r="M25" s="18" t="n"/>
      <c r="N25" s="18" t="n"/>
    </row>
    <row r="26">
      <c r="A26" s="18" t="n"/>
      <c r="I26" s="19" t="n"/>
      <c r="M26" s="18" t="n"/>
      <c r="N26" s="18" t="n"/>
    </row>
    <row r="27">
      <c r="A27" s="18" t="n"/>
      <c r="I27" s="19" t="n"/>
      <c r="M27" s="18" t="n"/>
      <c r="N27" s="18" t="n"/>
    </row>
    <row r="28">
      <c r="A28" s="18" t="n"/>
      <c r="I28" s="19" t="n"/>
      <c r="M28" s="18" t="n"/>
      <c r="N28" s="18" t="n"/>
    </row>
    <row r="29">
      <c r="A29" s="18" t="n"/>
      <c r="I29" s="19" t="n"/>
      <c r="M29" s="18" t="n"/>
      <c r="N29" s="18" t="n"/>
    </row>
    <row r="30">
      <c r="A30" s="18" t="n"/>
      <c r="I30" s="19" t="n"/>
      <c r="M30" s="18" t="n"/>
      <c r="N30" s="18" t="n"/>
    </row>
    <row r="31">
      <c r="A31" s="18" t="n"/>
      <c r="I31" s="19" t="n"/>
      <c r="M31" s="18" t="n"/>
      <c r="N31" s="18" t="n"/>
    </row>
    <row r="32">
      <c r="A32" s="18" t="n"/>
      <c r="I32" s="19" t="n"/>
      <c r="M32" s="18" t="n"/>
      <c r="N32" s="18" t="n"/>
    </row>
    <row r="33">
      <c r="A33" s="18" t="n"/>
      <c r="I33" s="19" t="n"/>
      <c r="M33" s="18" t="n"/>
      <c r="N33" s="18" t="n"/>
    </row>
    <row r="34">
      <c r="A34" s="18" t="n"/>
      <c r="I34" s="19" t="n"/>
      <c r="M34" s="18" t="n"/>
      <c r="N34" s="18" t="n"/>
    </row>
    <row r="35">
      <c r="A35" s="18" t="n"/>
      <c r="I35" s="19" t="n"/>
      <c r="M35" s="18" t="n"/>
      <c r="N35" s="18" t="n"/>
    </row>
    <row r="36">
      <c r="A36" s="18" t="n"/>
      <c r="I36" s="19" t="n"/>
      <c r="M36" s="18" t="n"/>
      <c r="N36" s="18" t="n"/>
    </row>
    <row r="37">
      <c r="A37" s="18" t="n"/>
      <c r="I37" s="19" t="n"/>
      <c r="M37" s="18" t="n"/>
      <c r="N37" s="18" t="n"/>
    </row>
    <row r="38">
      <c r="A38" s="18" t="n"/>
      <c r="I38" s="19" t="n"/>
      <c r="M38" s="18" t="n"/>
      <c r="N38" s="18" t="n"/>
    </row>
    <row r="39">
      <c r="A39" s="18" t="n"/>
      <c r="I39" s="19" t="n"/>
      <c r="M39" s="18" t="n"/>
      <c r="N39" s="18" t="n"/>
    </row>
    <row r="40">
      <c r="A40" s="18" t="n"/>
      <c r="I40" s="19" t="n"/>
      <c r="M40" s="18" t="n"/>
      <c r="N40" s="18" t="n"/>
    </row>
    <row r="41">
      <c r="A41" s="18" t="n"/>
      <c r="I41" s="19" t="n"/>
      <c r="M41" s="18" t="n"/>
      <c r="N41" s="18" t="n"/>
    </row>
    <row r="42">
      <c r="A42" s="18" t="n"/>
      <c r="I42" s="19" t="n"/>
      <c r="M42" s="18" t="n"/>
      <c r="N42" s="18" t="n"/>
    </row>
    <row r="43">
      <c r="A43" s="18" t="n"/>
      <c r="I43" s="19" t="n"/>
      <c r="M43" s="18" t="n"/>
      <c r="N43" s="18" t="n"/>
    </row>
    <row r="44">
      <c r="A44" s="18" t="n"/>
      <c r="I44" s="19" t="n"/>
      <c r="M44" s="18" t="n"/>
      <c r="N44" s="18" t="n"/>
    </row>
    <row r="45">
      <c r="A45" s="18" t="n"/>
      <c r="I45" s="19" t="n"/>
      <c r="M45" s="18" t="n"/>
      <c r="N45" s="18" t="n"/>
    </row>
    <row r="46">
      <c r="A46" s="18" t="n"/>
      <c r="I46" s="19" t="n"/>
      <c r="M46" s="18" t="n"/>
      <c r="N46" s="18" t="n"/>
    </row>
    <row r="47">
      <c r="A47" s="18" t="n"/>
      <c r="I47" s="19" t="n"/>
      <c r="M47" s="18" t="n"/>
      <c r="N47" s="18" t="n"/>
    </row>
    <row r="48">
      <c r="A48" s="18" t="n"/>
      <c r="I48" s="19" t="n"/>
      <c r="M48" s="18" t="n"/>
      <c r="N48" s="18" t="n"/>
    </row>
    <row r="49">
      <c r="A49" s="18" t="n"/>
      <c r="I49" s="19" t="n"/>
      <c r="M49" s="18" t="n"/>
      <c r="N49" s="18" t="n"/>
    </row>
    <row r="50">
      <c r="A50" s="18" t="n"/>
      <c r="I50" s="19" t="n"/>
      <c r="M50" s="18" t="n"/>
      <c r="N50" s="18" t="n"/>
    </row>
    <row r="51">
      <c r="A51" s="18" t="n"/>
      <c r="I51" s="19" t="n"/>
      <c r="M51" s="18" t="n"/>
      <c r="N51" s="18" t="n"/>
    </row>
    <row r="52">
      <c r="A52" s="18" t="n"/>
      <c r="I52" s="19" t="n"/>
      <c r="M52" s="18" t="n"/>
      <c r="N52" s="18" t="n"/>
    </row>
    <row r="53">
      <c r="A53" s="18" t="n"/>
      <c r="I53" s="19" t="n"/>
      <c r="M53" s="18" t="n"/>
      <c r="N53" s="18" t="n"/>
    </row>
    <row r="54">
      <c r="A54" s="18" t="n"/>
      <c r="I54" s="19" t="n"/>
      <c r="M54" s="18" t="n"/>
      <c r="N54" s="18" t="n"/>
    </row>
    <row r="55">
      <c r="A55" s="18" t="n"/>
      <c r="I55" s="19" t="n"/>
      <c r="M55" s="18" t="n"/>
      <c r="N55" s="18" t="n"/>
    </row>
    <row r="56">
      <c r="A56" s="18" t="n"/>
      <c r="I56" s="19" t="n"/>
      <c r="M56" s="18" t="n"/>
      <c r="N56" s="18" t="n"/>
    </row>
    <row r="57">
      <c r="A57" s="18" t="n"/>
      <c r="I57" s="19" t="n"/>
      <c r="M57" s="18" t="n"/>
      <c r="N57" s="18" t="n"/>
    </row>
    <row r="58">
      <c r="A58" s="18" t="n"/>
      <c r="I58" s="19" t="n"/>
      <c r="M58" s="18" t="n"/>
      <c r="N58" s="18" t="n"/>
    </row>
    <row r="59">
      <c r="A59" s="18" t="n"/>
      <c r="I59" s="19" t="n"/>
      <c r="M59" s="18" t="n"/>
      <c r="N59" s="18" t="n"/>
    </row>
    <row r="60">
      <c r="A60" s="18" t="n"/>
      <c r="I60" s="19" t="n"/>
      <c r="M60" s="18" t="n"/>
      <c r="N60" s="18" t="n"/>
    </row>
    <row r="61">
      <c r="A61" s="18" t="n"/>
      <c r="I61" s="19" t="n"/>
      <c r="M61" s="18" t="n"/>
      <c r="N61" s="18" t="n"/>
    </row>
    <row r="62">
      <c r="A62" s="18" t="n"/>
      <c r="I62" s="19" t="n"/>
      <c r="M62" s="18" t="n"/>
      <c r="N62" s="18" t="n"/>
    </row>
    <row r="63">
      <c r="A63" s="18" t="n"/>
      <c r="I63" s="19" t="n"/>
      <c r="M63" s="18" t="n"/>
      <c r="N63" s="18" t="n"/>
    </row>
    <row r="64">
      <c r="A64" s="18" t="n"/>
      <c r="I64" s="19" t="n"/>
      <c r="M64" s="18" t="n"/>
      <c r="N64" s="18" t="n"/>
    </row>
    <row r="65">
      <c r="A65" s="18" t="n"/>
      <c r="I65" s="19" t="n"/>
      <c r="M65" s="18" t="n"/>
      <c r="N65" s="18" t="n"/>
    </row>
    <row r="66">
      <c r="A66" s="18" t="n"/>
      <c r="I66" s="19" t="n"/>
      <c r="M66" s="18" t="n"/>
      <c r="N66" s="18" t="n"/>
    </row>
    <row r="67">
      <c r="A67" s="18" t="n"/>
      <c r="I67" s="19" t="n"/>
      <c r="M67" s="18" t="n"/>
      <c r="N67" s="18" t="n"/>
    </row>
    <row r="68">
      <c r="A68" s="18" t="n"/>
      <c r="I68" s="19" t="n"/>
      <c r="M68" s="18" t="n"/>
      <c r="N68" s="18" t="n"/>
    </row>
    <row r="69">
      <c r="A69" s="18" t="n"/>
      <c r="I69" s="19" t="n"/>
      <c r="M69" s="18" t="n"/>
      <c r="N69" s="18" t="n"/>
    </row>
    <row r="70">
      <c r="A70" s="18" t="n"/>
      <c r="I70" s="19" t="n"/>
      <c r="M70" s="18" t="n"/>
      <c r="N70" s="18" t="n"/>
    </row>
    <row r="71">
      <c r="A71" s="18" t="n"/>
      <c r="I71" s="19" t="n"/>
      <c r="M71" s="18" t="n"/>
      <c r="N71" s="18" t="n"/>
    </row>
    <row r="72">
      <c r="A72" s="18" t="n"/>
      <c r="I72" s="19" t="n"/>
      <c r="M72" s="18" t="n"/>
      <c r="N72" s="18" t="n"/>
    </row>
    <row r="73">
      <c r="A73" s="18" t="n"/>
      <c r="I73" s="19" t="n"/>
      <c r="M73" s="18" t="n"/>
      <c r="N73" s="18" t="n"/>
    </row>
    <row r="74">
      <c r="A74" s="18" t="n"/>
      <c r="I74" s="19" t="n"/>
      <c r="M74" s="18" t="n"/>
      <c r="N74" s="18" t="n"/>
    </row>
    <row r="75">
      <c r="A75" s="18" t="n"/>
      <c r="I75" s="19" t="n"/>
      <c r="M75" s="18" t="n"/>
      <c r="N75" s="18" t="n"/>
    </row>
    <row r="76">
      <c r="A76" s="18" t="n"/>
      <c r="I76" s="19" t="n"/>
      <c r="M76" s="18" t="n"/>
      <c r="N76" s="18" t="n"/>
    </row>
    <row r="77">
      <c r="A77" s="18" t="n"/>
      <c r="I77" s="19" t="n"/>
      <c r="M77" s="18" t="n"/>
      <c r="N77" s="18" t="n"/>
    </row>
    <row r="78">
      <c r="A78" s="18" t="n"/>
      <c r="I78" s="19" t="n"/>
      <c r="M78" s="18" t="n"/>
      <c r="N78" s="18" t="n"/>
    </row>
    <row r="79">
      <c r="A79" s="18" t="n"/>
      <c r="I79" s="19" t="n"/>
      <c r="M79" s="18" t="n"/>
      <c r="N79" s="18" t="n"/>
    </row>
    <row r="80">
      <c r="A80" s="18" t="n"/>
      <c r="I80" s="19" t="n"/>
      <c r="M80" s="18" t="n"/>
      <c r="N80" s="18" t="n"/>
    </row>
    <row r="81">
      <c r="A81" s="18" t="n"/>
      <c r="I81" s="19" t="n"/>
      <c r="M81" s="18" t="n"/>
      <c r="N81" s="18" t="n"/>
    </row>
    <row r="82">
      <c r="A82" s="18" t="n"/>
      <c r="I82" s="19" t="n"/>
      <c r="M82" s="18" t="n"/>
      <c r="N82" s="18" t="n"/>
    </row>
    <row r="83">
      <c r="A83" s="18" t="n"/>
      <c r="I83" s="19" t="n"/>
      <c r="M83" s="18" t="n"/>
      <c r="N83" s="18" t="n"/>
    </row>
    <row r="84">
      <c r="A84" s="18" t="n"/>
      <c r="I84" s="19" t="n"/>
      <c r="M84" s="18" t="n"/>
      <c r="N84" s="18" t="n"/>
    </row>
    <row r="85">
      <c r="A85" s="18" t="n"/>
      <c r="I85" s="19" t="n"/>
      <c r="M85" s="18" t="n"/>
      <c r="N85" s="18" t="n"/>
    </row>
    <row r="86">
      <c r="A86" s="18" t="n"/>
      <c r="I86" s="19" t="n"/>
      <c r="M86" s="18" t="n"/>
      <c r="N86" s="18" t="n"/>
    </row>
    <row r="87">
      <c r="A87" s="18" t="n"/>
      <c r="I87" s="19" t="n"/>
      <c r="M87" s="18" t="n"/>
      <c r="N87" s="18" t="n"/>
    </row>
    <row r="88">
      <c r="A88" s="18" t="n"/>
      <c r="I88" s="19" t="n"/>
      <c r="M88" s="18" t="n"/>
      <c r="N88" s="18" t="n"/>
    </row>
    <row r="89">
      <c r="A89" s="18" t="n"/>
      <c r="I89" s="19" t="n"/>
      <c r="M89" s="18" t="n"/>
      <c r="N89" s="18" t="n"/>
    </row>
    <row r="90">
      <c r="A90" s="18" t="n"/>
      <c r="I90" s="19" t="n"/>
      <c r="M90" s="18" t="n"/>
      <c r="N90" s="18" t="n"/>
    </row>
    <row r="91">
      <c r="A91" s="18" t="n"/>
      <c r="I91" s="19" t="n"/>
      <c r="M91" s="18" t="n"/>
      <c r="N91" s="18" t="n"/>
    </row>
    <row r="92">
      <c r="A92" s="18" t="n"/>
      <c r="I92" s="19" t="n"/>
      <c r="M92" s="18" t="n"/>
      <c r="N92" s="18" t="n"/>
    </row>
    <row r="93">
      <c r="A93" s="18" t="n"/>
      <c r="I93" s="19" t="n"/>
      <c r="M93" s="18" t="n"/>
      <c r="N93" s="18" t="n"/>
    </row>
    <row r="94">
      <c r="A94" s="18" t="n"/>
      <c r="I94" s="19" t="n"/>
      <c r="M94" s="18" t="n"/>
      <c r="N94" s="18" t="n"/>
    </row>
    <row r="95">
      <c r="A95" s="18" t="n"/>
      <c r="I95" s="19" t="n"/>
      <c r="M95" s="18" t="n"/>
      <c r="N95" s="18" t="n"/>
    </row>
    <row r="96">
      <c r="A96" s="18" t="n"/>
      <c r="I96" s="19" t="n"/>
      <c r="M96" s="18" t="n"/>
      <c r="N96" s="18" t="n"/>
    </row>
    <row r="97">
      <c r="A97" s="18" t="n"/>
      <c r="I97" s="19" t="n"/>
      <c r="M97" s="18" t="n"/>
      <c r="N97" s="18" t="n"/>
    </row>
    <row r="98">
      <c r="A98" s="18" t="n"/>
      <c r="I98" s="19" t="n"/>
      <c r="M98" s="18" t="n"/>
      <c r="N98" s="18" t="n"/>
    </row>
    <row r="99">
      <c r="A99" s="18" t="n"/>
      <c r="I99" s="19" t="n"/>
      <c r="M99" s="18" t="n"/>
      <c r="N99" s="18" t="n"/>
    </row>
    <row r="100">
      <c r="A100" s="18" t="n"/>
      <c r="I100" s="19" t="n"/>
      <c r="M100" s="18" t="n"/>
      <c r="N100" s="18" t="n"/>
    </row>
    <row r="101">
      <c r="A101" s="18" t="n"/>
      <c r="I101" s="19" t="n"/>
      <c r="M101" s="18" t="n"/>
      <c r="N101" s="18" t="n"/>
    </row>
    <row r="102">
      <c r="A102" s="18" t="n"/>
      <c r="I102" s="19" t="n"/>
      <c r="M102" s="18" t="n"/>
      <c r="N102" s="18" t="n"/>
    </row>
    <row r="103">
      <c r="A103" s="18" t="n"/>
      <c r="I103" s="19" t="n"/>
      <c r="M103" s="18" t="n"/>
      <c r="N103" s="18" t="n"/>
    </row>
    <row r="104">
      <c r="A104" s="18" t="n"/>
      <c r="I104" s="19" t="n"/>
      <c r="M104" s="18" t="n"/>
      <c r="N104" s="18" t="n"/>
    </row>
    <row r="105">
      <c r="A105" s="18" t="n"/>
      <c r="I105" s="19" t="n"/>
      <c r="M105" s="18" t="n"/>
      <c r="N105" s="18" t="n"/>
    </row>
    <row r="106">
      <c r="A106" s="18" t="n"/>
      <c r="I106" s="19" t="n"/>
      <c r="M106" s="18" t="n"/>
      <c r="N106" s="18" t="n"/>
    </row>
    <row r="107">
      <c r="A107" s="18" t="n"/>
      <c r="I107" s="19" t="n"/>
      <c r="M107" s="18" t="n"/>
      <c r="N107" s="18" t="n"/>
    </row>
    <row r="108">
      <c r="A108" s="18" t="n"/>
      <c r="I108" s="19" t="n"/>
      <c r="M108" s="18" t="n"/>
      <c r="N108" s="18" t="n"/>
    </row>
    <row r="109">
      <c r="A109" s="18" t="n"/>
      <c r="I109" s="19" t="n"/>
      <c r="M109" s="18" t="n"/>
      <c r="N109" s="18" t="n"/>
    </row>
    <row r="110">
      <c r="A110" s="18" t="n"/>
      <c r="I110" s="19" t="n"/>
      <c r="M110" s="18" t="n"/>
      <c r="N110" s="18" t="n"/>
    </row>
    <row r="111">
      <c r="A111" s="18" t="n"/>
      <c r="I111" s="19" t="n"/>
      <c r="M111" s="18" t="n"/>
      <c r="N111" s="18" t="n"/>
    </row>
    <row r="112">
      <c r="A112" s="18" t="n"/>
      <c r="I112" s="19" t="n"/>
      <c r="M112" s="18" t="n"/>
      <c r="N112" s="18" t="n"/>
    </row>
    <row r="113">
      <c r="A113" s="18" t="n"/>
      <c r="I113" s="19" t="n"/>
      <c r="M113" s="18" t="n"/>
      <c r="N113" s="18" t="n"/>
    </row>
    <row r="114">
      <c r="A114" s="18" t="n"/>
      <c r="I114" s="19" t="n"/>
      <c r="M114" s="18" t="n"/>
      <c r="N114" s="18" t="n"/>
    </row>
    <row r="115">
      <c r="A115" s="18" t="n"/>
      <c r="I115" s="19" t="n"/>
      <c r="M115" s="18" t="n"/>
      <c r="N115" s="18" t="n"/>
    </row>
    <row r="116">
      <c r="A116" s="18" t="n"/>
      <c r="I116" s="19" t="n"/>
      <c r="M116" s="18" t="n"/>
      <c r="N116" s="18" t="n"/>
    </row>
    <row r="117">
      <c r="A117" s="18" t="n"/>
      <c r="I117" s="19" t="n"/>
      <c r="M117" s="18" t="n"/>
      <c r="N117" s="18" t="n"/>
    </row>
    <row r="118">
      <c r="A118" s="18" t="n"/>
      <c r="I118" s="19" t="n"/>
      <c r="M118" s="18" t="n"/>
      <c r="N118" s="18" t="n"/>
    </row>
    <row r="119">
      <c r="A119" s="18" t="n"/>
      <c r="I119" s="19" t="n"/>
      <c r="M119" s="18" t="n"/>
      <c r="N119" s="18" t="n"/>
    </row>
    <row r="120">
      <c r="A120" s="18" t="n"/>
      <c r="I120" s="19" t="n"/>
      <c r="M120" s="18" t="n"/>
      <c r="N120" s="18" t="n"/>
    </row>
    <row r="121">
      <c r="A121" s="18" t="n"/>
      <c r="I121" s="19" t="n"/>
      <c r="M121" s="18" t="n"/>
      <c r="N121" s="18" t="n"/>
    </row>
    <row r="122">
      <c r="A122" s="18" t="n"/>
      <c r="I122" s="19" t="n"/>
      <c r="M122" s="18" t="n"/>
      <c r="N122" s="18" t="n"/>
    </row>
    <row r="123">
      <c r="A123" s="18" t="n"/>
      <c r="I123" s="19" t="n"/>
      <c r="M123" s="18" t="n"/>
      <c r="N123" s="18" t="n"/>
    </row>
    <row r="124">
      <c r="A124" s="18" t="n"/>
      <c r="I124" s="19" t="n"/>
      <c r="M124" s="18" t="n"/>
      <c r="N124" s="18" t="n"/>
    </row>
    <row r="125">
      <c r="A125" s="18" t="n"/>
      <c r="I125" s="19" t="n"/>
      <c r="M125" s="18" t="n"/>
      <c r="N125" s="18" t="n"/>
    </row>
    <row r="126">
      <c r="A126" s="18" t="n"/>
      <c r="I126" s="19" t="n"/>
      <c r="M126" s="18" t="n"/>
      <c r="N126" s="18" t="n"/>
    </row>
    <row r="127">
      <c r="A127" s="18" t="n"/>
      <c r="I127" s="19" t="n"/>
      <c r="M127" s="18" t="n"/>
      <c r="N127" s="18" t="n"/>
    </row>
    <row r="128">
      <c r="A128" s="18" t="n"/>
      <c r="I128" s="19" t="n"/>
      <c r="M128" s="18" t="n"/>
      <c r="N128" s="18" t="n"/>
    </row>
    <row r="129">
      <c r="A129" s="18" t="n"/>
      <c r="I129" s="19" t="n"/>
      <c r="M129" s="18" t="n"/>
      <c r="N129" s="18" t="n"/>
    </row>
    <row r="130">
      <c r="A130" s="18" t="n"/>
      <c r="I130" s="19" t="n"/>
      <c r="M130" s="18" t="n"/>
      <c r="N130" s="18" t="n"/>
    </row>
    <row r="131">
      <c r="A131" s="18" t="n"/>
      <c r="I131" s="19" t="n"/>
      <c r="M131" s="18" t="n"/>
      <c r="N131" s="18" t="n"/>
    </row>
    <row r="132">
      <c r="A132" s="18" t="n"/>
      <c r="I132" s="19" t="n"/>
      <c r="M132" s="18" t="n"/>
      <c r="N132" s="18" t="n"/>
    </row>
    <row r="133">
      <c r="A133" s="18" t="n"/>
      <c r="I133" s="19" t="n"/>
      <c r="M133" s="18" t="n"/>
      <c r="N133" s="18" t="n"/>
    </row>
    <row r="134">
      <c r="A134" s="18" t="n"/>
      <c r="I134" s="19" t="n"/>
      <c r="M134" s="18" t="n"/>
      <c r="N134" s="18" t="n"/>
    </row>
    <row r="135">
      <c r="A135" s="18" t="n"/>
      <c r="I135" s="19" t="n"/>
      <c r="M135" s="18" t="n"/>
      <c r="N135" s="18" t="n"/>
    </row>
    <row r="136">
      <c r="A136" s="18" t="n"/>
      <c r="I136" s="19" t="n"/>
      <c r="M136" s="18" t="n"/>
      <c r="N136" s="18" t="n"/>
    </row>
    <row r="137">
      <c r="A137" s="18" t="n"/>
      <c r="I137" s="19" t="n"/>
      <c r="M137" s="18" t="n"/>
      <c r="N137" s="18" t="n"/>
    </row>
    <row r="138">
      <c r="A138" s="18" t="n"/>
      <c r="I138" s="19" t="n"/>
      <c r="M138" s="18" t="n"/>
      <c r="N138" s="18" t="n"/>
    </row>
    <row r="139">
      <c r="A139" s="18" t="n"/>
      <c r="I139" s="19" t="n"/>
      <c r="M139" s="18" t="n"/>
      <c r="N139" s="18" t="n"/>
    </row>
    <row r="140">
      <c r="A140" s="18" t="n"/>
      <c r="I140" s="19" t="n"/>
      <c r="M140" s="18" t="n"/>
      <c r="N140" s="18" t="n"/>
    </row>
    <row r="141">
      <c r="A141" s="18" t="n"/>
      <c r="I141" s="19" t="n"/>
      <c r="M141" s="18" t="n"/>
      <c r="N141" s="18" t="n"/>
    </row>
    <row r="142">
      <c r="A142" s="18" t="n"/>
      <c r="I142" s="19" t="n"/>
      <c r="M142" s="18" t="n"/>
      <c r="N142" s="18" t="n"/>
    </row>
    <row r="143">
      <c r="A143" s="18" t="n"/>
      <c r="I143" s="19" t="n"/>
      <c r="M143" s="18" t="n"/>
      <c r="N143" s="18" t="n"/>
    </row>
    <row r="144">
      <c r="A144" s="18" t="n"/>
      <c r="I144" s="19" t="n"/>
      <c r="M144" s="18" t="n"/>
      <c r="N144" s="18" t="n"/>
    </row>
    <row r="145">
      <c r="A145" s="18" t="n"/>
      <c r="I145" s="19" t="n"/>
      <c r="M145" s="18" t="n"/>
      <c r="N145" s="18" t="n"/>
    </row>
    <row r="146">
      <c r="A146" s="18" t="n"/>
      <c r="I146" s="19" t="n"/>
      <c r="M146" s="18" t="n"/>
      <c r="N146" s="18" t="n"/>
    </row>
    <row r="147">
      <c r="A147" s="18" t="n"/>
      <c r="I147" s="19" t="n"/>
      <c r="M147" s="18" t="n"/>
      <c r="N147" s="18" t="n"/>
    </row>
    <row r="148">
      <c r="A148" s="18" t="n"/>
      <c r="I148" s="19" t="n"/>
      <c r="M148" s="18" t="n"/>
      <c r="N148" s="18" t="n"/>
    </row>
    <row r="149">
      <c r="A149" s="18" t="n"/>
      <c r="I149" s="19" t="n"/>
      <c r="M149" s="18" t="n"/>
      <c r="N149" s="18" t="n"/>
    </row>
    <row r="150">
      <c r="A150" s="18" t="n"/>
      <c r="I150" s="19" t="n"/>
      <c r="M150" s="18" t="n"/>
      <c r="N150" s="18" t="n"/>
    </row>
    <row r="151">
      <c r="A151" s="18" t="n"/>
      <c r="I151" s="19" t="n"/>
      <c r="M151" s="18" t="n"/>
      <c r="N151" s="18" t="n"/>
    </row>
    <row r="152">
      <c r="A152" s="18" t="n"/>
      <c r="I152" s="19" t="n"/>
      <c r="M152" s="18" t="n"/>
      <c r="N152" s="18" t="n"/>
    </row>
    <row r="153">
      <c r="A153" s="18" t="n"/>
      <c r="I153" s="19" t="n"/>
      <c r="M153" s="18" t="n"/>
      <c r="N153" s="18" t="n"/>
    </row>
    <row r="154">
      <c r="A154" s="18" t="n"/>
      <c r="I154" s="19" t="n"/>
      <c r="M154" s="18" t="n"/>
      <c r="N154" s="18" t="n"/>
    </row>
    <row r="155">
      <c r="A155" s="18" t="n"/>
      <c r="I155" s="19" t="n"/>
      <c r="M155" s="18" t="n"/>
      <c r="N155" s="18" t="n"/>
    </row>
    <row r="156">
      <c r="A156" s="18" t="n"/>
      <c r="I156" s="19" t="n"/>
      <c r="M156" s="18" t="n"/>
      <c r="N156" s="18" t="n"/>
    </row>
    <row r="157">
      <c r="A157" s="18" t="n"/>
      <c r="I157" s="19" t="n"/>
      <c r="M157" s="18" t="n"/>
      <c r="N157" s="18" t="n"/>
    </row>
    <row r="158">
      <c r="A158" s="18" t="n"/>
      <c r="I158" s="19" t="n"/>
      <c r="M158" s="18" t="n"/>
      <c r="N158" s="18" t="n"/>
    </row>
    <row r="159">
      <c r="A159" s="18" t="n"/>
      <c r="I159" s="19" t="n"/>
      <c r="M159" s="18" t="n"/>
      <c r="N159" s="18" t="n"/>
    </row>
    <row r="160">
      <c r="A160" s="18" t="n"/>
      <c r="I160" s="19" t="n"/>
      <c r="M160" s="18" t="n"/>
      <c r="N160" s="18" t="n"/>
    </row>
    <row r="161">
      <c r="A161" s="18" t="n"/>
      <c r="I161" s="19" t="n"/>
      <c r="M161" s="18" t="n"/>
      <c r="N161" s="18" t="n"/>
    </row>
    <row r="162">
      <c r="A162" s="18" t="n"/>
      <c r="I162" s="19" t="n"/>
      <c r="M162" s="18" t="n"/>
      <c r="N162" s="18" t="n"/>
    </row>
    <row r="163">
      <c r="A163" s="18" t="n"/>
      <c r="I163" s="19" t="n"/>
      <c r="M163" s="18" t="n"/>
      <c r="N163" s="18" t="n"/>
    </row>
    <row r="164">
      <c r="A164" s="18" t="n"/>
      <c r="I164" s="19" t="n"/>
      <c r="M164" s="18" t="n"/>
      <c r="N164" s="18" t="n"/>
    </row>
    <row r="165">
      <c r="A165" s="18" t="n"/>
      <c r="I165" s="19" t="n"/>
      <c r="M165" s="18" t="n"/>
      <c r="N165" s="18" t="n"/>
    </row>
    <row r="166">
      <c r="A166" s="18" t="n"/>
      <c r="I166" s="19" t="n"/>
      <c r="M166" s="18" t="n"/>
      <c r="N166" s="18" t="n"/>
    </row>
    <row r="167">
      <c r="A167" s="18" t="n"/>
      <c r="I167" s="19" t="n"/>
      <c r="M167" s="18" t="n"/>
      <c r="N167" s="18" t="n"/>
    </row>
    <row r="168">
      <c r="A168" s="18" t="n"/>
      <c r="I168" s="19" t="n"/>
      <c r="M168" s="18" t="n"/>
      <c r="N168" s="18" t="n"/>
    </row>
    <row r="169">
      <c r="A169" s="18" t="n"/>
      <c r="I169" s="19" t="n"/>
      <c r="M169" s="18" t="n"/>
      <c r="N169" s="18" t="n"/>
    </row>
    <row r="170">
      <c r="A170" s="18" t="n"/>
      <c r="I170" s="19" t="n"/>
      <c r="M170" s="18" t="n"/>
      <c r="N170" s="18" t="n"/>
    </row>
    <row r="171">
      <c r="A171" s="18" t="n"/>
      <c r="I171" s="19" t="n"/>
      <c r="M171" s="18" t="n"/>
      <c r="N171" s="18" t="n"/>
    </row>
    <row r="172">
      <c r="A172" s="18" t="n"/>
      <c r="I172" s="19" t="n"/>
      <c r="M172" s="18" t="n"/>
      <c r="N172" s="18" t="n"/>
    </row>
    <row r="173">
      <c r="A173" s="18" t="n"/>
      <c r="I173" s="19" t="n"/>
      <c r="M173" s="18" t="n"/>
      <c r="N173" s="18" t="n"/>
    </row>
    <row r="174">
      <c r="A174" s="18" t="n"/>
      <c r="I174" s="19" t="n"/>
      <c r="M174" s="18" t="n"/>
      <c r="N174" s="18" t="n"/>
    </row>
    <row r="175">
      <c r="A175" s="18" t="n"/>
      <c r="I175" s="19" t="n"/>
      <c r="M175" s="18" t="n"/>
      <c r="N175" s="18" t="n"/>
    </row>
    <row r="176">
      <c r="A176" s="18" t="n"/>
      <c r="I176" s="19" t="n"/>
      <c r="M176" s="18" t="n"/>
      <c r="N176" s="18" t="n"/>
    </row>
    <row r="177">
      <c r="A177" s="18" t="n"/>
      <c r="I177" s="19" t="n"/>
      <c r="M177" s="18" t="n"/>
      <c r="N177" s="18" t="n"/>
    </row>
    <row r="178">
      <c r="A178" s="18" t="n"/>
      <c r="I178" s="19" t="n"/>
      <c r="M178" s="18" t="n"/>
      <c r="N178" s="18" t="n"/>
    </row>
    <row r="179">
      <c r="A179" s="18" t="n"/>
      <c r="I179" s="19" t="n"/>
      <c r="M179" s="18" t="n"/>
      <c r="N179" s="18" t="n"/>
    </row>
    <row r="180">
      <c r="A180" s="18" t="n"/>
      <c r="I180" s="19" t="n"/>
      <c r="M180" s="18" t="n"/>
      <c r="N180" s="18" t="n"/>
    </row>
    <row r="181">
      <c r="A181" s="18" t="n"/>
      <c r="I181" s="19" t="n"/>
      <c r="M181" s="18" t="n"/>
      <c r="N181" s="18" t="n"/>
    </row>
    <row r="182">
      <c r="A182" s="18" t="n"/>
      <c r="I182" s="19" t="n"/>
      <c r="M182" s="18" t="n"/>
      <c r="N182" s="18" t="n"/>
    </row>
    <row r="183">
      <c r="A183" s="18" t="n"/>
      <c r="I183" s="19" t="n"/>
      <c r="M183" s="18" t="n"/>
      <c r="N183" s="18" t="n"/>
    </row>
    <row r="184">
      <c r="A184" s="18" t="n"/>
      <c r="I184" s="19" t="n"/>
      <c r="M184" s="18" t="n"/>
      <c r="N184" s="18" t="n"/>
    </row>
    <row r="185">
      <c r="A185" s="18" t="n"/>
      <c r="I185" s="19" t="n"/>
      <c r="M185" s="18" t="n"/>
      <c r="N185" s="18" t="n"/>
    </row>
    <row r="186">
      <c r="A186" s="18" t="n"/>
      <c r="I186" s="19" t="n"/>
      <c r="M186" s="18" t="n"/>
      <c r="N186" s="18" t="n"/>
    </row>
    <row r="187">
      <c r="A187" s="18" t="n"/>
      <c r="I187" s="19" t="n"/>
      <c r="M187" s="18" t="n"/>
      <c r="N187" s="18" t="n"/>
    </row>
    <row r="188">
      <c r="A188" s="18" t="n"/>
      <c r="I188" s="19" t="n"/>
      <c r="M188" s="18" t="n"/>
      <c r="N188" s="18" t="n"/>
    </row>
    <row r="189">
      <c r="A189" s="18" t="n"/>
      <c r="I189" s="19" t="n"/>
      <c r="M189" s="18" t="n"/>
      <c r="N189" s="18" t="n"/>
    </row>
    <row r="190">
      <c r="A190" s="18" t="n"/>
      <c r="I190" s="19" t="n"/>
      <c r="M190" s="18" t="n"/>
      <c r="N190" s="18" t="n"/>
    </row>
    <row r="191">
      <c r="A191" s="18" t="n"/>
      <c r="I191" s="19" t="n"/>
      <c r="M191" s="18" t="n"/>
      <c r="N191" s="18" t="n"/>
    </row>
    <row r="192">
      <c r="A192" s="18" t="n"/>
      <c r="I192" s="19" t="n"/>
      <c r="M192" s="18" t="n"/>
      <c r="N192" s="18" t="n"/>
    </row>
    <row r="193">
      <c r="A193" s="18" t="n"/>
      <c r="I193" s="19" t="n"/>
      <c r="M193" s="18" t="n"/>
      <c r="N193" s="18" t="n"/>
    </row>
    <row r="194">
      <c r="A194" s="18" t="n"/>
      <c r="I194" s="19" t="n"/>
      <c r="M194" s="18" t="n"/>
      <c r="N194" s="18" t="n"/>
    </row>
    <row r="195">
      <c r="A195" s="18" t="n"/>
      <c r="I195" s="19" t="n"/>
      <c r="M195" s="18" t="n"/>
      <c r="N195" s="18" t="n"/>
    </row>
    <row r="196">
      <c r="A196" s="18" t="n"/>
      <c r="I196" s="19" t="n"/>
      <c r="M196" s="18" t="n"/>
      <c r="N196" s="18" t="n"/>
    </row>
    <row r="197">
      <c r="A197" s="18" t="n"/>
      <c r="I197" s="19" t="n"/>
      <c r="M197" s="18" t="n"/>
      <c r="N197" s="18" t="n"/>
    </row>
    <row r="198">
      <c r="A198" s="18" t="n"/>
      <c r="I198" s="19" t="n"/>
      <c r="M198" s="18" t="n"/>
      <c r="N198" s="18" t="n"/>
    </row>
    <row r="199">
      <c r="A199" s="18" t="n"/>
      <c r="I199" s="19" t="n"/>
      <c r="M199" s="18" t="n"/>
      <c r="N199" s="18" t="n"/>
    </row>
    <row r="200">
      <c r="A200" s="18" t="n"/>
      <c r="I200" s="19" t="n"/>
      <c r="M200" s="18" t="n"/>
      <c r="N200" s="18" t="n"/>
    </row>
    <row r="201">
      <c r="A201" s="18" t="n"/>
      <c r="I201" s="19" t="n"/>
      <c r="M201" s="18" t="n"/>
      <c r="N201" s="18" t="n"/>
    </row>
    <row r="202">
      <c r="A202" s="18" t="n"/>
      <c r="I202" s="19" t="n"/>
      <c r="M202" s="18" t="n"/>
      <c r="N202" s="18" t="n"/>
    </row>
    <row r="203">
      <c r="A203" s="18" t="n"/>
      <c r="I203" s="19" t="n"/>
      <c r="M203" s="18" t="n"/>
      <c r="N203" s="18" t="n"/>
    </row>
    <row r="204">
      <c r="A204" s="18" t="n"/>
      <c r="I204" s="19" t="n"/>
      <c r="M204" s="18" t="n"/>
      <c r="N204" s="18" t="n"/>
    </row>
    <row r="205">
      <c r="A205" s="18" t="n"/>
      <c r="I205" s="19" t="n"/>
      <c r="M205" s="18" t="n"/>
      <c r="N205" s="18" t="n"/>
    </row>
    <row r="206">
      <c r="A206" s="18" t="n"/>
      <c r="I206" s="19" t="n"/>
      <c r="M206" s="18" t="n"/>
      <c r="N206" s="18" t="n"/>
    </row>
    <row r="207">
      <c r="A207" s="18" t="n"/>
      <c r="I207" s="19" t="n"/>
      <c r="M207" s="18" t="n"/>
      <c r="N207" s="18" t="n"/>
    </row>
    <row r="208">
      <c r="A208" s="18" t="n"/>
      <c r="I208" s="19" t="n"/>
      <c r="M208" s="18" t="n"/>
      <c r="N208" s="18" t="n"/>
    </row>
    <row r="209">
      <c r="A209" s="18" t="n"/>
      <c r="I209" s="19" t="n"/>
      <c r="M209" s="18" t="n"/>
      <c r="N209" s="18" t="n"/>
    </row>
    <row r="210">
      <c r="A210" s="18" t="n"/>
      <c r="I210" s="19" t="n"/>
      <c r="M210" s="18" t="n"/>
      <c r="N210" s="18" t="n"/>
    </row>
    <row r="211">
      <c r="A211" s="18" t="n"/>
      <c r="I211" s="19" t="n"/>
      <c r="M211" s="18" t="n"/>
      <c r="N211" s="18" t="n"/>
    </row>
    <row r="212">
      <c r="A212" s="18" t="n"/>
      <c r="I212" s="19" t="n"/>
      <c r="M212" s="18" t="n"/>
      <c r="N212" s="18" t="n"/>
    </row>
    <row r="213">
      <c r="A213" s="18" t="n"/>
      <c r="I213" s="19" t="n"/>
      <c r="M213" s="18" t="n"/>
      <c r="N213" s="18" t="n"/>
    </row>
    <row r="214">
      <c r="A214" s="18" t="n"/>
      <c r="I214" s="19" t="n"/>
      <c r="M214" s="18" t="n"/>
      <c r="N214" s="18" t="n"/>
    </row>
    <row r="215">
      <c r="A215" s="18" t="n"/>
      <c r="I215" s="19" t="n"/>
      <c r="M215" s="18" t="n"/>
      <c r="N215" s="18" t="n"/>
    </row>
    <row r="216">
      <c r="A216" s="18" t="n"/>
      <c r="I216" s="19" t="n"/>
      <c r="M216" s="18" t="n"/>
      <c r="N216" s="18" t="n"/>
    </row>
    <row r="217">
      <c r="A217" s="18" t="n"/>
      <c r="I217" s="19" t="n"/>
      <c r="M217" s="18" t="n"/>
      <c r="N217" s="18" t="n"/>
    </row>
    <row r="218">
      <c r="A218" s="18" t="n"/>
      <c r="I218" s="19" t="n"/>
      <c r="M218" s="18" t="n"/>
      <c r="N218" s="18" t="n"/>
    </row>
    <row r="219">
      <c r="A219" s="18" t="n"/>
      <c r="I219" s="19" t="n"/>
      <c r="M219" s="18" t="n"/>
      <c r="N219" s="18" t="n"/>
    </row>
    <row r="220">
      <c r="A220" s="18" t="n"/>
      <c r="I220" s="19" t="n"/>
      <c r="M220" s="18" t="n"/>
      <c r="N220" s="18" t="n"/>
    </row>
    <row r="221">
      <c r="A221" s="18" t="n"/>
      <c r="I221" s="19" t="n"/>
      <c r="M221" s="18" t="n"/>
      <c r="N221" s="18" t="n"/>
    </row>
    <row r="222">
      <c r="A222" s="18" t="n"/>
      <c r="I222" s="19" t="n"/>
      <c r="M222" s="18" t="n"/>
      <c r="N222" s="18" t="n"/>
    </row>
    <row r="223">
      <c r="A223" s="18" t="n"/>
      <c r="I223" s="19" t="n"/>
      <c r="M223" s="18" t="n"/>
      <c r="N223" s="18" t="n"/>
    </row>
    <row r="224">
      <c r="A224" s="18" t="n"/>
      <c r="I224" s="19" t="n"/>
      <c r="M224" s="18" t="n"/>
      <c r="N224" s="18" t="n"/>
    </row>
    <row r="225">
      <c r="A225" s="18" t="n"/>
      <c r="I225" s="19" t="n"/>
      <c r="M225" s="18" t="n"/>
      <c r="N225" s="18" t="n"/>
    </row>
    <row r="226">
      <c r="A226" s="18" t="n"/>
      <c r="I226" s="19" t="n"/>
      <c r="M226" s="18" t="n"/>
      <c r="N226" s="18" t="n"/>
    </row>
    <row r="227">
      <c r="A227" s="18" t="n"/>
      <c r="I227" s="19" t="n"/>
      <c r="M227" s="18" t="n"/>
      <c r="N227" s="18" t="n"/>
    </row>
    <row r="228">
      <c r="A228" s="18" t="n"/>
      <c r="I228" s="19" t="n"/>
      <c r="M228" s="18" t="n"/>
      <c r="N228" s="18" t="n"/>
    </row>
    <row r="229">
      <c r="A229" s="18" t="n"/>
      <c r="I229" s="19" t="n"/>
      <c r="M229" s="18" t="n"/>
      <c r="N229" s="18" t="n"/>
    </row>
    <row r="230">
      <c r="A230" s="18" t="n"/>
      <c r="I230" s="19" t="n"/>
      <c r="M230" s="18" t="n"/>
      <c r="N230" s="18" t="n"/>
    </row>
    <row r="231">
      <c r="A231" s="18" t="n"/>
      <c r="I231" s="19" t="n"/>
      <c r="M231" s="18" t="n"/>
      <c r="N231" s="18" t="n"/>
    </row>
    <row r="232">
      <c r="A232" s="18" t="n"/>
      <c r="I232" s="19" t="n"/>
      <c r="M232" s="18" t="n"/>
      <c r="N232" s="18" t="n"/>
    </row>
    <row r="233">
      <c r="A233" s="18" t="n"/>
      <c r="I233" s="19" t="n"/>
      <c r="M233" s="18" t="n"/>
      <c r="N233" s="18" t="n"/>
    </row>
    <row r="234">
      <c r="A234" s="18" t="n"/>
      <c r="I234" s="19" t="n"/>
      <c r="M234" s="18" t="n"/>
      <c r="N234" s="18" t="n"/>
    </row>
    <row r="235">
      <c r="A235" s="18" t="n"/>
      <c r="I235" s="19" t="n"/>
      <c r="M235" s="18" t="n"/>
      <c r="N235" s="18" t="n"/>
    </row>
    <row r="236">
      <c r="A236" s="18" t="n"/>
      <c r="I236" s="19" t="n"/>
      <c r="M236" s="18" t="n"/>
      <c r="N236" s="18" t="n"/>
    </row>
    <row r="237">
      <c r="A237" s="18" t="n"/>
      <c r="I237" s="19" t="n"/>
      <c r="M237" s="18" t="n"/>
      <c r="N237" s="18" t="n"/>
    </row>
    <row r="238">
      <c r="A238" s="18" t="n"/>
      <c r="I238" s="19" t="n"/>
      <c r="M238" s="18" t="n"/>
      <c r="N238" s="18" t="n"/>
    </row>
    <row r="239">
      <c r="A239" s="18" t="n"/>
      <c r="I239" s="19" t="n"/>
      <c r="M239" s="18" t="n"/>
      <c r="N239" s="18" t="n"/>
    </row>
    <row r="240">
      <c r="A240" s="18" t="n"/>
      <c r="I240" s="19" t="n"/>
      <c r="M240" s="18" t="n"/>
      <c r="N240" s="18" t="n"/>
    </row>
    <row r="241">
      <c r="A241" s="18" t="n"/>
      <c r="I241" s="19" t="n"/>
      <c r="M241" s="18" t="n"/>
      <c r="N241" s="18" t="n"/>
    </row>
    <row r="242">
      <c r="A242" s="18" t="n"/>
      <c r="I242" s="19" t="n"/>
      <c r="M242" s="18" t="n"/>
      <c r="N242" s="18" t="n"/>
    </row>
    <row r="243">
      <c r="A243" s="18" t="n"/>
      <c r="I243" s="19" t="n"/>
      <c r="M243" s="18" t="n"/>
      <c r="N243" s="18" t="n"/>
    </row>
    <row r="244">
      <c r="A244" s="18" t="n"/>
      <c r="I244" s="19" t="n"/>
      <c r="M244" s="18" t="n"/>
      <c r="N244" s="18" t="n"/>
    </row>
    <row r="245">
      <c r="A245" s="18" t="n"/>
      <c r="I245" s="19" t="n"/>
      <c r="M245" s="18" t="n"/>
      <c r="N245" s="18" t="n"/>
    </row>
    <row r="246">
      <c r="A246" s="18" t="n"/>
      <c r="I246" s="19" t="n"/>
      <c r="M246" s="18" t="n"/>
      <c r="N246" s="18" t="n"/>
    </row>
    <row r="247">
      <c r="A247" s="18" t="n"/>
      <c r="I247" s="19" t="n"/>
      <c r="M247" s="18" t="n"/>
      <c r="N247" s="18" t="n"/>
    </row>
    <row r="248">
      <c r="A248" s="18" t="n"/>
      <c r="I248" s="19" t="n"/>
      <c r="M248" s="18" t="n"/>
      <c r="N248" s="18" t="n"/>
    </row>
    <row r="249">
      <c r="A249" s="18" t="n"/>
      <c r="I249" s="19" t="n"/>
      <c r="M249" s="18" t="n"/>
      <c r="N249" s="18" t="n"/>
    </row>
    <row r="250">
      <c r="A250" s="18" t="n"/>
      <c r="I250" s="19" t="n"/>
      <c r="M250" s="18" t="n"/>
      <c r="N250" s="18" t="n"/>
    </row>
    <row r="251">
      <c r="A251" s="18" t="n"/>
      <c r="I251" s="19" t="n"/>
      <c r="M251" s="18" t="n"/>
      <c r="N251" s="18" t="n"/>
    </row>
    <row r="252">
      <c r="A252" s="18" t="n"/>
      <c r="I252" s="19" t="n"/>
      <c r="M252" s="18" t="n"/>
      <c r="N252" s="18" t="n"/>
    </row>
    <row r="253">
      <c r="A253" s="18" t="n"/>
      <c r="I253" s="19" t="n"/>
      <c r="M253" s="18" t="n"/>
      <c r="N253" s="18" t="n"/>
    </row>
    <row r="254">
      <c r="A254" s="18" t="n"/>
      <c r="I254" s="19" t="n"/>
      <c r="M254" s="18" t="n"/>
      <c r="N254" s="18" t="n"/>
    </row>
    <row r="255">
      <c r="A255" s="18" t="n"/>
      <c r="I255" s="19" t="n"/>
      <c r="M255" s="18" t="n"/>
      <c r="N255" s="18" t="n"/>
    </row>
    <row r="256">
      <c r="A256" s="18" t="n"/>
      <c r="I256" s="19" t="n"/>
      <c r="M256" s="18" t="n"/>
      <c r="N256" s="18" t="n"/>
    </row>
    <row r="257">
      <c r="A257" s="18" t="n"/>
      <c r="I257" s="19" t="n"/>
      <c r="M257" s="18" t="n"/>
      <c r="N257" s="18" t="n"/>
    </row>
    <row r="258">
      <c r="A258" s="18" t="n"/>
      <c r="I258" s="19" t="n"/>
      <c r="M258" s="18" t="n"/>
      <c r="N258" s="18" t="n"/>
    </row>
    <row r="259">
      <c r="A259" s="18" t="n"/>
      <c r="I259" s="19" t="n"/>
      <c r="M259" s="18" t="n"/>
      <c r="N259" s="18" t="n"/>
    </row>
    <row r="260">
      <c r="A260" s="18" t="n"/>
      <c r="I260" s="19" t="n"/>
      <c r="M260" s="18" t="n"/>
      <c r="N260" s="18" t="n"/>
    </row>
    <row r="261">
      <c r="A261" s="18" t="n"/>
      <c r="I261" s="19" t="n"/>
      <c r="M261" s="18" t="n"/>
      <c r="N261" s="18" t="n"/>
    </row>
    <row r="262">
      <c r="A262" s="18" t="n"/>
      <c r="I262" s="19" t="n"/>
      <c r="M262" s="18" t="n"/>
      <c r="N262" s="18" t="n"/>
    </row>
    <row r="263">
      <c r="A263" s="18" t="n"/>
      <c r="I263" s="19" t="n"/>
      <c r="M263" s="18" t="n"/>
      <c r="N263" s="18" t="n"/>
    </row>
    <row r="264">
      <c r="A264" s="18" t="n"/>
      <c r="I264" s="19" t="n"/>
      <c r="M264" s="18" t="n"/>
      <c r="N264" s="18" t="n"/>
    </row>
    <row r="265">
      <c r="A265" s="18" t="n"/>
      <c r="I265" s="19" t="n"/>
      <c r="M265" s="18" t="n"/>
      <c r="N265" s="18" t="n"/>
    </row>
    <row r="266">
      <c r="A266" s="18" t="n"/>
      <c r="I266" s="19" t="n"/>
      <c r="M266" s="18" t="n"/>
      <c r="N266" s="18" t="n"/>
    </row>
    <row r="267">
      <c r="A267" s="18" t="n"/>
      <c r="I267" s="19" t="n"/>
      <c r="M267" s="18" t="n"/>
      <c r="N267" s="18" t="n"/>
    </row>
    <row r="268">
      <c r="A268" s="18" t="n"/>
      <c r="I268" s="19" t="n"/>
      <c r="M268" s="18" t="n"/>
      <c r="N268" s="18" t="n"/>
    </row>
    <row r="269">
      <c r="A269" s="18" t="n"/>
      <c r="I269" s="19" t="n"/>
      <c r="M269" s="18" t="n"/>
      <c r="N269" s="18" t="n"/>
    </row>
    <row r="270">
      <c r="A270" s="18" t="n"/>
      <c r="I270" s="19" t="n"/>
      <c r="M270" s="18" t="n"/>
      <c r="N270" s="18" t="n"/>
    </row>
    <row r="271">
      <c r="A271" s="18" t="n"/>
      <c r="I271" s="19" t="n"/>
      <c r="M271" s="18" t="n"/>
      <c r="N271" s="18" t="n"/>
    </row>
    <row r="272">
      <c r="A272" s="18" t="n"/>
      <c r="I272" s="19" t="n"/>
      <c r="M272" s="18" t="n"/>
      <c r="N272" s="18" t="n"/>
    </row>
    <row r="273">
      <c r="A273" s="18" t="n"/>
      <c r="I273" s="19" t="n"/>
      <c r="M273" s="18" t="n"/>
      <c r="N273" s="18" t="n"/>
    </row>
    <row r="274">
      <c r="A274" s="18" t="n"/>
      <c r="I274" s="19" t="n"/>
      <c r="M274" s="18" t="n"/>
      <c r="N274" s="18" t="n"/>
    </row>
    <row r="275">
      <c r="A275" s="18" t="n"/>
      <c r="I275" s="19" t="n"/>
      <c r="M275" s="18" t="n"/>
      <c r="N275" s="18" t="n"/>
    </row>
    <row r="276">
      <c r="A276" s="18" t="n"/>
      <c r="I276" s="19" t="n"/>
      <c r="M276" s="18" t="n"/>
      <c r="N276" s="18" t="n"/>
    </row>
    <row r="277">
      <c r="A277" s="18" t="n"/>
      <c r="I277" s="19" t="n"/>
      <c r="M277" s="18" t="n"/>
      <c r="N277" s="18" t="n"/>
    </row>
    <row r="278">
      <c r="A278" s="18" t="n"/>
      <c r="I278" s="19" t="n"/>
      <c r="M278" s="18" t="n"/>
      <c r="N278" s="18" t="n"/>
    </row>
    <row r="279">
      <c r="A279" s="18" t="n"/>
      <c r="I279" s="19" t="n"/>
      <c r="M279" s="18" t="n"/>
      <c r="N279" s="18" t="n"/>
    </row>
    <row r="280">
      <c r="A280" s="18" t="n"/>
      <c r="I280" s="19" t="n"/>
      <c r="M280" s="18" t="n"/>
      <c r="N280" s="18" t="n"/>
    </row>
    <row r="281">
      <c r="A281" s="18" t="n"/>
      <c r="I281" s="19" t="n"/>
      <c r="M281" s="18" t="n"/>
      <c r="N281" s="18" t="n"/>
    </row>
    <row r="282">
      <c r="A282" s="18" t="n"/>
      <c r="I282" s="19" t="n"/>
      <c r="M282" s="18" t="n"/>
      <c r="N282" s="18" t="n"/>
    </row>
    <row r="283">
      <c r="A283" s="18" t="n"/>
      <c r="I283" s="19" t="n"/>
      <c r="M283" s="18" t="n"/>
      <c r="N283" s="18" t="n"/>
    </row>
    <row r="284">
      <c r="A284" s="18" t="n"/>
      <c r="I284" s="19" t="n"/>
      <c r="M284" s="18" t="n"/>
      <c r="N284" s="18" t="n"/>
    </row>
    <row r="285">
      <c r="A285" s="18" t="n"/>
      <c r="I285" s="19" t="n"/>
      <c r="M285" s="18" t="n"/>
      <c r="N285" s="18" t="n"/>
    </row>
    <row r="286">
      <c r="A286" s="18" t="n"/>
      <c r="I286" s="19" t="n"/>
      <c r="M286" s="18" t="n"/>
      <c r="N286" s="18" t="n"/>
    </row>
    <row r="287">
      <c r="A287" s="18" t="n"/>
      <c r="I287" s="19" t="n"/>
      <c r="M287" s="18" t="n"/>
      <c r="N287" s="18" t="n"/>
    </row>
    <row r="288">
      <c r="A288" s="18" t="n"/>
      <c r="I288" s="19" t="n"/>
      <c r="M288" s="18" t="n"/>
      <c r="N288" s="18" t="n"/>
    </row>
    <row r="289">
      <c r="A289" s="18" t="n"/>
      <c r="I289" s="19" t="n"/>
      <c r="M289" s="18" t="n"/>
      <c r="N289" s="18" t="n"/>
    </row>
    <row r="290">
      <c r="A290" s="18" t="n"/>
      <c r="I290" s="19" t="n"/>
      <c r="M290" s="18" t="n"/>
      <c r="N290" s="18" t="n"/>
    </row>
    <row r="291">
      <c r="A291" s="18" t="n"/>
      <c r="I291" s="19" t="n"/>
      <c r="M291" s="18" t="n"/>
      <c r="N291" s="18" t="n"/>
    </row>
    <row r="292">
      <c r="A292" s="18" t="n"/>
      <c r="I292" s="19" t="n"/>
      <c r="M292" s="18" t="n"/>
      <c r="N292" s="18" t="n"/>
    </row>
    <row r="293">
      <c r="A293" s="18" t="n"/>
      <c r="I293" s="19" t="n"/>
      <c r="M293" s="18" t="n"/>
      <c r="N293" s="18" t="n"/>
    </row>
    <row r="294">
      <c r="A294" s="18" t="n"/>
      <c r="I294" s="19" t="n"/>
      <c r="M294" s="18" t="n"/>
      <c r="N294" s="18" t="n"/>
    </row>
    <row r="295">
      <c r="A295" s="18" t="n"/>
      <c r="I295" s="19" t="n"/>
      <c r="M295" s="18" t="n"/>
      <c r="N295" s="18" t="n"/>
    </row>
    <row r="296">
      <c r="A296" s="18" t="n"/>
      <c r="I296" s="19" t="n"/>
      <c r="M296" s="18" t="n"/>
      <c r="N296" s="18" t="n"/>
    </row>
    <row r="297">
      <c r="A297" s="18" t="n"/>
      <c r="I297" s="19" t="n"/>
      <c r="M297" s="18" t="n"/>
      <c r="N297" s="18" t="n"/>
    </row>
    <row r="298">
      <c r="A298" s="18" t="n"/>
      <c r="I298" s="19" t="n"/>
      <c r="M298" s="18" t="n"/>
      <c r="N298" s="18" t="n"/>
    </row>
    <row r="299">
      <c r="A299" s="18" t="n"/>
      <c r="I299" s="19" t="n"/>
      <c r="M299" s="18" t="n"/>
      <c r="N299" s="18" t="n"/>
    </row>
    <row r="300">
      <c r="A300" s="18" t="n"/>
      <c r="I300" s="19" t="n"/>
      <c r="M300" s="18" t="n"/>
      <c r="N300" s="18" t="n"/>
    </row>
    <row r="301">
      <c r="A301" s="18" t="n"/>
      <c r="I301" s="19" t="n"/>
      <c r="M301" s="18" t="n"/>
      <c r="N301" s="18" t="n"/>
    </row>
    <row r="302">
      <c r="A302" s="18" t="n"/>
      <c r="I302" s="19" t="n"/>
      <c r="M302" s="18" t="n"/>
      <c r="N302" s="18" t="n"/>
    </row>
    <row r="303">
      <c r="A303" s="18" t="n"/>
      <c r="I303" s="19" t="n"/>
      <c r="M303" s="18" t="n"/>
      <c r="N303" s="18" t="n"/>
    </row>
    <row r="304">
      <c r="A304" s="18" t="n"/>
      <c r="I304" s="19" t="n"/>
      <c r="M304" s="18" t="n"/>
      <c r="N304" s="18" t="n"/>
    </row>
    <row r="305">
      <c r="A305" s="18" t="n"/>
      <c r="I305" s="19" t="n"/>
      <c r="M305" s="18" t="n"/>
      <c r="N305" s="18" t="n"/>
    </row>
    <row r="306">
      <c r="A306" s="18" t="n"/>
      <c r="I306" s="19" t="n"/>
      <c r="M306" s="18" t="n"/>
      <c r="N306" s="18" t="n"/>
    </row>
    <row r="307">
      <c r="A307" s="18" t="n"/>
      <c r="I307" s="19" t="n"/>
      <c r="M307" s="18" t="n"/>
      <c r="N307" s="18" t="n"/>
    </row>
    <row r="308">
      <c r="A308" s="18" t="n"/>
      <c r="I308" s="19" t="n"/>
      <c r="M308" s="18" t="n"/>
      <c r="N308" s="18" t="n"/>
    </row>
    <row r="309">
      <c r="A309" s="18" t="n"/>
      <c r="I309" s="19" t="n"/>
      <c r="M309" s="18" t="n"/>
      <c r="N309" s="18" t="n"/>
    </row>
    <row r="310">
      <c r="A310" s="18" t="n"/>
      <c r="I310" s="19" t="n"/>
      <c r="M310" s="18" t="n"/>
      <c r="N310" s="18" t="n"/>
    </row>
    <row r="311">
      <c r="A311" s="18" t="n"/>
      <c r="I311" s="19" t="n"/>
      <c r="M311" s="18" t="n"/>
      <c r="N311" s="18" t="n"/>
    </row>
    <row r="312">
      <c r="A312" s="18" t="n"/>
      <c r="I312" s="19" t="n"/>
      <c r="M312" s="18" t="n"/>
      <c r="N312" s="18" t="n"/>
    </row>
    <row r="313">
      <c r="A313" s="18" t="n"/>
      <c r="I313" s="19" t="n"/>
      <c r="M313" s="18" t="n"/>
      <c r="N313" s="18" t="n"/>
    </row>
    <row r="314">
      <c r="A314" s="18" t="n"/>
      <c r="I314" s="19" t="n"/>
      <c r="M314" s="18" t="n"/>
      <c r="N314" s="18" t="n"/>
    </row>
    <row r="315">
      <c r="A315" s="18" t="n"/>
      <c r="I315" s="19" t="n"/>
      <c r="M315" s="18" t="n"/>
      <c r="N315" s="18" t="n"/>
    </row>
    <row r="316">
      <c r="A316" s="18" t="n"/>
      <c r="I316" s="19" t="n"/>
      <c r="M316" s="18" t="n"/>
      <c r="N316" s="18" t="n"/>
    </row>
    <row r="317">
      <c r="A317" s="18" t="n"/>
      <c r="I317" s="19" t="n"/>
      <c r="M317" s="18" t="n"/>
      <c r="N317" s="18" t="n"/>
    </row>
    <row r="318">
      <c r="A318" s="18" t="n"/>
      <c r="I318" s="19" t="n"/>
      <c r="M318" s="18" t="n"/>
      <c r="N318" s="18" t="n"/>
    </row>
    <row r="319">
      <c r="A319" s="18" t="n"/>
      <c r="I319" s="19" t="n"/>
      <c r="M319" s="18" t="n"/>
      <c r="N319" s="18" t="n"/>
    </row>
    <row r="320">
      <c r="A320" s="18" t="n"/>
      <c r="I320" s="19" t="n"/>
      <c r="M320" s="18" t="n"/>
      <c r="N320" s="18" t="n"/>
    </row>
    <row r="321">
      <c r="A321" s="18" t="n"/>
      <c r="I321" s="19" t="n"/>
      <c r="M321" s="18" t="n"/>
      <c r="N321" s="18" t="n"/>
    </row>
    <row r="322">
      <c r="A322" s="18" t="n"/>
      <c r="I322" s="19" t="n"/>
      <c r="M322" s="18" t="n"/>
      <c r="N322" s="18" t="n"/>
    </row>
    <row r="323">
      <c r="A323" s="18" t="n"/>
      <c r="I323" s="19" t="n"/>
      <c r="M323" s="18" t="n"/>
      <c r="N323" s="18" t="n"/>
    </row>
    <row r="324">
      <c r="A324" s="18" t="n"/>
      <c r="I324" s="19" t="n"/>
      <c r="M324" s="18" t="n"/>
      <c r="N324" s="18" t="n"/>
    </row>
    <row r="325">
      <c r="A325" s="18" t="n"/>
      <c r="I325" s="19" t="n"/>
      <c r="M325" s="18" t="n"/>
      <c r="N325" s="18" t="n"/>
    </row>
    <row r="326">
      <c r="A326" s="18" t="n"/>
      <c r="I326" s="19" t="n"/>
      <c r="M326" s="18" t="n"/>
      <c r="N326" s="18" t="n"/>
    </row>
    <row r="327">
      <c r="A327" s="18" t="n"/>
      <c r="I327" s="19" t="n"/>
      <c r="M327" s="18" t="n"/>
      <c r="N327" s="18" t="n"/>
    </row>
    <row r="328">
      <c r="A328" s="18" t="n"/>
      <c r="I328" s="19" t="n"/>
      <c r="M328" s="18" t="n"/>
      <c r="N328" s="18" t="n"/>
    </row>
    <row r="329">
      <c r="A329" s="18" t="n"/>
      <c r="I329" s="19" t="n"/>
      <c r="M329" s="18" t="n"/>
      <c r="N329" s="18" t="n"/>
    </row>
    <row r="330">
      <c r="A330" s="18" t="n"/>
      <c r="I330" s="19" t="n"/>
      <c r="M330" s="18" t="n"/>
      <c r="N330" s="18" t="n"/>
    </row>
    <row r="331">
      <c r="A331" s="18" t="n"/>
      <c r="I331" s="19" t="n"/>
      <c r="M331" s="18" t="n"/>
      <c r="N331" s="18" t="n"/>
    </row>
    <row r="332">
      <c r="A332" s="18" t="n"/>
      <c r="I332" s="19" t="n"/>
      <c r="M332" s="18" t="n"/>
      <c r="N332" s="18" t="n"/>
    </row>
    <row r="333">
      <c r="A333" s="18" t="n"/>
      <c r="I333" s="19" t="n"/>
      <c r="M333" s="18" t="n"/>
      <c r="N333" s="18" t="n"/>
    </row>
    <row r="334">
      <c r="A334" s="18" t="n"/>
      <c r="I334" s="19" t="n"/>
      <c r="M334" s="18" t="n"/>
      <c r="N334" s="18" t="n"/>
    </row>
    <row r="335">
      <c r="A335" s="18" t="n"/>
      <c r="I335" s="19" t="n"/>
      <c r="M335" s="18" t="n"/>
      <c r="N335" s="18" t="n"/>
    </row>
    <row r="336">
      <c r="A336" s="18" t="n"/>
      <c r="I336" s="19" t="n"/>
      <c r="M336" s="18" t="n"/>
      <c r="N336" s="18" t="n"/>
    </row>
    <row r="337">
      <c r="A337" s="18" t="n"/>
      <c r="I337" s="19" t="n"/>
      <c r="M337" s="18" t="n"/>
      <c r="N337" s="18" t="n"/>
    </row>
    <row r="338">
      <c r="A338" s="18" t="n"/>
      <c r="I338" s="19" t="n"/>
      <c r="M338" s="18" t="n"/>
      <c r="N338" s="18" t="n"/>
    </row>
    <row r="339">
      <c r="A339" s="18" t="n"/>
      <c r="I339" s="19" t="n"/>
      <c r="M339" s="18" t="n"/>
      <c r="N339" s="18" t="n"/>
    </row>
    <row r="340">
      <c r="A340" s="18" t="n"/>
      <c r="I340" s="19" t="n"/>
      <c r="M340" s="18" t="n"/>
      <c r="N340" s="18" t="n"/>
    </row>
    <row r="341">
      <c r="A341" s="18" t="n"/>
      <c r="I341" s="19" t="n"/>
      <c r="M341" s="18" t="n"/>
      <c r="N341" s="18" t="n"/>
    </row>
    <row r="342">
      <c r="A342" s="18" t="n"/>
      <c r="I342" s="19" t="n"/>
      <c r="M342" s="18" t="n"/>
      <c r="N342" s="18" t="n"/>
    </row>
    <row r="343">
      <c r="A343" s="18" t="n"/>
      <c r="I343" s="19" t="n"/>
      <c r="M343" s="18" t="n"/>
      <c r="N343" s="18" t="n"/>
    </row>
    <row r="344">
      <c r="A344" s="18" t="n"/>
      <c r="I344" s="19" t="n"/>
      <c r="M344" s="18" t="n"/>
      <c r="N344" s="18" t="n"/>
    </row>
    <row r="345">
      <c r="A345" s="18" t="n"/>
      <c r="I345" s="19" t="n"/>
      <c r="M345" s="18" t="n"/>
      <c r="N345" s="18" t="n"/>
    </row>
    <row r="346">
      <c r="A346" s="18" t="n"/>
      <c r="I346" s="19" t="n"/>
      <c r="M346" s="18" t="n"/>
      <c r="N346" s="18" t="n"/>
    </row>
    <row r="347">
      <c r="A347" s="18" t="n"/>
      <c r="I347" s="19" t="n"/>
      <c r="M347" s="18" t="n"/>
      <c r="N347" s="18" t="n"/>
    </row>
    <row r="348">
      <c r="A348" s="18" t="n"/>
      <c r="I348" s="19" t="n"/>
      <c r="M348" s="18" t="n"/>
      <c r="N348" s="18" t="n"/>
    </row>
    <row r="349">
      <c r="A349" s="18" t="n"/>
      <c r="I349" s="19" t="n"/>
      <c r="M349" s="18" t="n"/>
      <c r="N349" s="18" t="n"/>
    </row>
    <row r="350">
      <c r="A350" s="18" t="n"/>
      <c r="I350" s="19" t="n"/>
      <c r="M350" s="18" t="n"/>
      <c r="N350" s="18" t="n"/>
    </row>
    <row r="351">
      <c r="A351" s="18" t="n"/>
      <c r="I351" s="19" t="n"/>
      <c r="M351" s="18" t="n"/>
      <c r="N351" s="18" t="n"/>
    </row>
    <row r="352">
      <c r="A352" s="18" t="n"/>
      <c r="I352" s="19" t="n"/>
      <c r="M352" s="18" t="n"/>
      <c r="N352" s="18" t="n"/>
    </row>
    <row r="353">
      <c r="A353" s="18" t="n"/>
      <c r="I353" s="19" t="n"/>
      <c r="M353" s="18" t="n"/>
      <c r="N353" s="18" t="n"/>
    </row>
    <row r="354">
      <c r="A354" s="18" t="n"/>
      <c r="I354" s="19" t="n"/>
      <c r="M354" s="18" t="n"/>
      <c r="N354" s="18" t="n"/>
    </row>
    <row r="355">
      <c r="A355" s="18" t="n"/>
      <c r="I355" s="19" t="n"/>
      <c r="M355" s="18" t="n"/>
      <c r="N355" s="18" t="n"/>
    </row>
    <row r="356">
      <c r="A356" s="18" t="n"/>
      <c r="I356" s="19" t="n"/>
      <c r="M356" s="18" t="n"/>
      <c r="N356" s="18" t="n"/>
    </row>
    <row r="357">
      <c r="A357" s="18" t="n"/>
      <c r="I357" s="19" t="n"/>
      <c r="M357" s="18" t="n"/>
      <c r="N357" s="18" t="n"/>
    </row>
    <row r="358">
      <c r="A358" s="18" t="n"/>
      <c r="I358" s="19" t="n"/>
      <c r="M358" s="18" t="n"/>
      <c r="N358" s="18" t="n"/>
    </row>
    <row r="359">
      <c r="A359" s="18" t="n"/>
      <c r="I359" s="19" t="n"/>
      <c r="M359" s="18" t="n"/>
      <c r="N359" s="18" t="n"/>
    </row>
    <row r="360">
      <c r="A360" s="18" t="n"/>
      <c r="I360" s="19" t="n"/>
      <c r="M360" s="18" t="n"/>
      <c r="N360" s="18" t="n"/>
    </row>
    <row r="361">
      <c r="A361" s="18" t="n"/>
      <c r="I361" s="19" t="n"/>
      <c r="M361" s="18" t="n"/>
      <c r="N361" s="18" t="n"/>
    </row>
    <row r="362">
      <c r="A362" s="18" t="n"/>
      <c r="I362" s="19" t="n"/>
      <c r="M362" s="18" t="n"/>
      <c r="N362" s="18" t="n"/>
    </row>
    <row r="363">
      <c r="A363" s="18" t="n"/>
      <c r="I363" s="19" t="n"/>
      <c r="M363" s="18" t="n"/>
      <c r="N363" s="18" t="n"/>
    </row>
    <row r="364">
      <c r="A364" s="18" t="n"/>
      <c r="I364" s="19" t="n"/>
      <c r="M364" s="18" t="n"/>
      <c r="N364" s="18" t="n"/>
    </row>
    <row r="365">
      <c r="A365" s="18" t="n"/>
      <c r="I365" s="19" t="n"/>
      <c r="M365" s="18" t="n"/>
      <c r="N365" s="18" t="n"/>
    </row>
    <row r="366">
      <c r="A366" s="18" t="n"/>
      <c r="I366" s="19" t="n"/>
      <c r="M366" s="18" t="n"/>
      <c r="N366" s="18" t="n"/>
    </row>
    <row r="367">
      <c r="A367" s="18" t="n"/>
      <c r="I367" s="19" t="n"/>
      <c r="M367" s="18" t="n"/>
      <c r="N367" s="18" t="n"/>
    </row>
    <row r="368">
      <c r="A368" s="18" t="n"/>
      <c r="I368" s="19" t="n"/>
      <c r="M368" s="18" t="n"/>
      <c r="N368" s="18" t="n"/>
    </row>
    <row r="369">
      <c r="A369" s="18" t="n"/>
      <c r="I369" s="19" t="n"/>
      <c r="M369" s="18" t="n"/>
      <c r="N369" s="18" t="n"/>
    </row>
    <row r="370">
      <c r="A370" s="18" t="n"/>
      <c r="I370" s="19" t="n"/>
      <c r="M370" s="18" t="n"/>
      <c r="N370" s="18" t="n"/>
    </row>
    <row r="371">
      <c r="A371" s="18" t="n"/>
      <c r="I371" s="19" t="n"/>
      <c r="M371" s="18" t="n"/>
      <c r="N371" s="18" t="n"/>
    </row>
    <row r="372">
      <c r="A372" s="18" t="n"/>
      <c r="I372" s="19" t="n"/>
      <c r="M372" s="18" t="n"/>
      <c r="N372" s="18" t="n"/>
    </row>
    <row r="373">
      <c r="A373" s="18" t="n"/>
      <c r="I373" s="19" t="n"/>
      <c r="M373" s="18" t="n"/>
      <c r="N373" s="18" t="n"/>
    </row>
    <row r="374">
      <c r="A374" s="18" t="n"/>
      <c r="I374" s="19" t="n"/>
      <c r="M374" s="18" t="n"/>
      <c r="N374" s="18" t="n"/>
    </row>
    <row r="375">
      <c r="A375" s="18" t="n"/>
      <c r="I375" s="19" t="n"/>
      <c r="M375" s="18" t="n"/>
      <c r="N375" s="18" t="n"/>
    </row>
    <row r="376">
      <c r="A376" s="18" t="n"/>
      <c r="I376" s="19" t="n"/>
      <c r="M376" s="18" t="n"/>
      <c r="N376" s="18" t="n"/>
    </row>
    <row r="377">
      <c r="A377" s="18" t="n"/>
      <c r="I377" s="19" t="n"/>
      <c r="M377" s="18" t="n"/>
      <c r="N377" s="18" t="n"/>
    </row>
    <row r="378">
      <c r="A378" s="18" t="n"/>
      <c r="I378" s="19" t="n"/>
      <c r="M378" s="18" t="n"/>
      <c r="N378" s="18" t="n"/>
    </row>
    <row r="379">
      <c r="A379" s="18" t="n"/>
      <c r="I379" s="19" t="n"/>
      <c r="M379" s="18" t="n"/>
      <c r="N379" s="18" t="n"/>
    </row>
    <row r="380">
      <c r="A380" s="18" t="n"/>
      <c r="I380" s="19" t="n"/>
      <c r="M380" s="18" t="n"/>
      <c r="N380" s="18" t="n"/>
    </row>
    <row r="381">
      <c r="A381" s="18" t="n"/>
      <c r="I381" s="19" t="n"/>
      <c r="M381" s="18" t="n"/>
      <c r="N381" s="18" t="n"/>
    </row>
    <row r="382">
      <c r="A382" s="18" t="n"/>
      <c r="I382" s="19" t="n"/>
      <c r="M382" s="18" t="n"/>
      <c r="N382" s="18" t="n"/>
    </row>
    <row r="383">
      <c r="A383" s="18" t="n"/>
      <c r="I383" s="19" t="n"/>
      <c r="M383" s="18" t="n"/>
      <c r="N383" s="18" t="n"/>
    </row>
    <row r="384">
      <c r="A384" s="18" t="n"/>
      <c r="I384" s="19" t="n"/>
      <c r="M384" s="18" t="n"/>
      <c r="N384" s="18" t="n"/>
    </row>
    <row r="385">
      <c r="A385" s="18" t="n"/>
      <c r="I385" s="19" t="n"/>
      <c r="M385" s="18" t="n"/>
      <c r="N385" s="18" t="n"/>
    </row>
    <row r="386">
      <c r="A386" s="18" t="n"/>
      <c r="I386" s="19" t="n"/>
      <c r="M386" s="18" t="n"/>
      <c r="N386" s="18" t="n"/>
    </row>
    <row r="387">
      <c r="A387" s="18" t="n"/>
      <c r="I387" s="19" t="n"/>
      <c r="M387" s="18" t="n"/>
      <c r="N387" s="18" t="n"/>
    </row>
    <row r="388">
      <c r="A388" s="18" t="n"/>
      <c r="I388" s="19" t="n"/>
      <c r="M388" s="18" t="n"/>
      <c r="N388" s="18" t="n"/>
    </row>
    <row r="389">
      <c r="A389" s="18" t="n"/>
      <c r="I389" s="19" t="n"/>
      <c r="M389" s="18" t="n"/>
      <c r="N389" s="18" t="n"/>
    </row>
    <row r="390">
      <c r="A390" s="18" t="n"/>
      <c r="I390" s="19" t="n"/>
      <c r="M390" s="18" t="n"/>
      <c r="N390" s="18" t="n"/>
    </row>
    <row r="391">
      <c r="A391" s="18" t="n"/>
      <c r="I391" s="19" t="n"/>
      <c r="M391" s="18" t="n"/>
      <c r="N391" s="18" t="n"/>
    </row>
    <row r="392">
      <c r="A392" s="18" t="n"/>
      <c r="I392" s="19" t="n"/>
      <c r="M392" s="18" t="n"/>
      <c r="N392" s="18" t="n"/>
    </row>
    <row r="393">
      <c r="A393" s="18" t="n"/>
      <c r="I393" s="19" t="n"/>
      <c r="M393" s="18" t="n"/>
      <c r="N393" s="18" t="n"/>
    </row>
    <row r="394">
      <c r="A394" s="18" t="n"/>
      <c r="I394" s="19" t="n"/>
      <c r="M394" s="18" t="n"/>
      <c r="N394" s="18" t="n"/>
    </row>
    <row r="395">
      <c r="A395" s="18" t="n"/>
      <c r="I395" s="19" t="n"/>
      <c r="M395" s="18" t="n"/>
      <c r="N395" s="18" t="n"/>
    </row>
    <row r="396">
      <c r="A396" s="18" t="n"/>
      <c r="I396" s="19" t="n"/>
      <c r="M396" s="18" t="n"/>
      <c r="N396" s="18" t="n"/>
    </row>
    <row r="397">
      <c r="A397" s="18" t="n"/>
      <c r="I397" s="19" t="n"/>
      <c r="M397" s="18" t="n"/>
      <c r="N397" s="18" t="n"/>
    </row>
    <row r="398">
      <c r="A398" s="18" t="n"/>
      <c r="I398" s="19" t="n"/>
      <c r="M398" s="18" t="n"/>
      <c r="N398" s="18" t="n"/>
    </row>
    <row r="399">
      <c r="A399" s="18" t="n"/>
      <c r="I399" s="19" t="n"/>
      <c r="M399" s="18" t="n"/>
      <c r="N399" s="18" t="n"/>
    </row>
    <row r="400">
      <c r="A400" s="18" t="n"/>
      <c r="I400" s="19" t="n"/>
      <c r="M400" s="18" t="n"/>
      <c r="N400" s="18" t="n"/>
    </row>
    <row r="401">
      <c r="A401" s="18" t="n"/>
      <c r="I401" s="19" t="n"/>
      <c r="M401" s="18" t="n"/>
      <c r="N401" s="18" t="n"/>
    </row>
    <row r="402">
      <c r="A402" s="18" t="n"/>
      <c r="I402" s="19" t="n"/>
      <c r="M402" s="18" t="n"/>
      <c r="N402" s="18" t="n"/>
    </row>
    <row r="403">
      <c r="A403" s="18" t="n"/>
      <c r="I403" s="19" t="n"/>
      <c r="M403" s="18" t="n"/>
      <c r="N403" s="18" t="n"/>
    </row>
    <row r="404">
      <c r="A404" s="18" t="n"/>
      <c r="I404" s="19" t="n"/>
      <c r="M404" s="18" t="n"/>
      <c r="N404" s="18" t="n"/>
    </row>
    <row r="405">
      <c r="A405" s="18" t="n"/>
      <c r="I405" s="19" t="n"/>
      <c r="M405" s="18" t="n"/>
      <c r="N405" s="18" t="n"/>
    </row>
    <row r="406">
      <c r="A406" s="18" t="n"/>
      <c r="I406" s="19" t="n"/>
      <c r="M406" s="18" t="n"/>
      <c r="N406" s="18" t="n"/>
    </row>
    <row r="407">
      <c r="A407" s="18" t="n"/>
      <c r="I407" s="19" t="n"/>
      <c r="M407" s="18" t="n"/>
      <c r="N407" s="18" t="n"/>
    </row>
    <row r="408">
      <c r="A408" s="18" t="n"/>
      <c r="I408" s="19" t="n"/>
      <c r="M408" s="18" t="n"/>
      <c r="N408" s="18" t="n"/>
    </row>
    <row r="409">
      <c r="A409" s="18" t="n"/>
      <c r="I409" s="19" t="n"/>
      <c r="M409" s="18" t="n"/>
      <c r="N409" s="18" t="n"/>
    </row>
    <row r="410">
      <c r="A410" s="18" t="n"/>
      <c r="I410" s="19" t="n"/>
      <c r="M410" s="18" t="n"/>
      <c r="N410" s="18" t="n"/>
    </row>
    <row r="411">
      <c r="A411" s="18" t="n"/>
      <c r="I411" s="19" t="n"/>
      <c r="M411" s="18" t="n"/>
      <c r="N411" s="18" t="n"/>
    </row>
    <row r="412">
      <c r="A412" s="18" t="n"/>
      <c r="I412" s="19" t="n"/>
      <c r="M412" s="18" t="n"/>
      <c r="N412" s="18" t="n"/>
    </row>
    <row r="413">
      <c r="A413" s="18" t="n"/>
      <c r="I413" s="19" t="n"/>
      <c r="M413" s="18" t="n"/>
      <c r="N413" s="18" t="n"/>
    </row>
    <row r="414">
      <c r="A414" s="18" t="n"/>
      <c r="I414" s="19" t="n"/>
      <c r="M414" s="18" t="n"/>
      <c r="N414" s="18" t="n"/>
    </row>
    <row r="415">
      <c r="A415" s="18" t="n"/>
      <c r="I415" s="19" t="n"/>
      <c r="M415" s="18" t="n"/>
      <c r="N415" s="18" t="n"/>
    </row>
    <row r="416">
      <c r="A416" s="18" t="n"/>
      <c r="I416" s="19" t="n"/>
      <c r="M416" s="18" t="n"/>
      <c r="N416" s="18" t="n"/>
    </row>
    <row r="417">
      <c r="A417" s="18" t="n"/>
      <c r="I417" s="19" t="n"/>
      <c r="M417" s="18" t="n"/>
      <c r="N417" s="18" t="n"/>
    </row>
    <row r="418">
      <c r="A418" s="18" t="n"/>
      <c r="I418" s="19" t="n"/>
      <c r="M418" s="18" t="n"/>
      <c r="N418" s="18" t="n"/>
    </row>
    <row r="419">
      <c r="A419" s="18" t="n"/>
      <c r="I419" s="19" t="n"/>
      <c r="M419" s="18" t="n"/>
      <c r="N419" s="18" t="n"/>
    </row>
    <row r="420">
      <c r="A420" s="18" t="n"/>
      <c r="I420" s="19" t="n"/>
      <c r="M420" s="18" t="n"/>
      <c r="N420" s="18" t="n"/>
    </row>
    <row r="421">
      <c r="A421" s="18" t="n"/>
      <c r="I421" s="19" t="n"/>
      <c r="M421" s="18" t="n"/>
      <c r="N421" s="18" t="n"/>
    </row>
    <row r="422">
      <c r="A422" s="18" t="n"/>
      <c r="I422" s="19" t="n"/>
      <c r="M422" s="18" t="n"/>
      <c r="N422" s="18" t="n"/>
    </row>
    <row r="423">
      <c r="A423" s="18" t="n"/>
      <c r="I423" s="19" t="n"/>
      <c r="M423" s="18" t="n"/>
      <c r="N423" s="18" t="n"/>
    </row>
    <row r="424">
      <c r="A424" s="18" t="n"/>
      <c r="I424" s="19" t="n"/>
      <c r="M424" s="18" t="n"/>
      <c r="N424" s="18" t="n"/>
    </row>
    <row r="425">
      <c r="A425" s="18" t="n"/>
      <c r="I425" s="19" t="n"/>
      <c r="M425" s="18" t="n"/>
      <c r="N425" s="18" t="n"/>
    </row>
    <row r="426">
      <c r="A426" s="18" t="n"/>
      <c r="I426" s="19" t="n"/>
      <c r="M426" s="18" t="n"/>
      <c r="N426" s="18" t="n"/>
    </row>
    <row r="427">
      <c r="A427" s="18" t="n"/>
      <c r="I427" s="19" t="n"/>
      <c r="M427" s="18" t="n"/>
      <c r="N427" s="18" t="n"/>
    </row>
    <row r="428">
      <c r="A428" s="18" t="n"/>
      <c r="I428" s="19" t="n"/>
      <c r="M428" s="18" t="n"/>
      <c r="N428" s="18" t="n"/>
    </row>
    <row r="429">
      <c r="A429" s="18" t="n"/>
      <c r="I429" s="19" t="n"/>
      <c r="M429" s="18" t="n"/>
      <c r="N429" s="18" t="n"/>
    </row>
    <row r="430">
      <c r="A430" s="18" t="n"/>
      <c r="I430" s="19" t="n"/>
      <c r="M430" s="18" t="n"/>
      <c r="N430" s="18" t="n"/>
    </row>
    <row r="431">
      <c r="A431" s="18" t="n"/>
      <c r="I431" s="19" t="n"/>
      <c r="M431" s="18" t="n"/>
      <c r="N431" s="18" t="n"/>
    </row>
    <row r="432">
      <c r="A432" s="18" t="n"/>
      <c r="I432" s="19" t="n"/>
      <c r="M432" s="18" t="n"/>
      <c r="N432" s="18" t="n"/>
    </row>
    <row r="433">
      <c r="A433" s="18" t="n"/>
      <c r="I433" s="19" t="n"/>
      <c r="M433" s="18" t="n"/>
      <c r="N433" s="18" t="n"/>
    </row>
    <row r="434">
      <c r="A434" s="18" t="n"/>
      <c r="I434" s="19" t="n"/>
      <c r="M434" s="18" t="n"/>
      <c r="N434" s="18" t="n"/>
    </row>
    <row r="435">
      <c r="A435" s="18" t="n"/>
      <c r="I435" s="19" t="n"/>
      <c r="M435" s="18" t="n"/>
      <c r="N435" s="18" t="n"/>
    </row>
    <row r="436">
      <c r="A436" s="18" t="n"/>
      <c r="I436" s="19" t="n"/>
      <c r="M436" s="18" t="n"/>
      <c r="N436" s="18" t="n"/>
    </row>
    <row r="437">
      <c r="A437" s="18" t="n"/>
      <c r="I437" s="19" t="n"/>
      <c r="M437" s="18" t="n"/>
      <c r="N437" s="18" t="n"/>
    </row>
    <row r="438">
      <c r="A438" s="18" t="n"/>
      <c r="I438" s="19" t="n"/>
      <c r="M438" s="18" t="n"/>
      <c r="N438" s="18" t="n"/>
    </row>
    <row r="439">
      <c r="A439" s="18" t="n"/>
      <c r="I439" s="19" t="n"/>
      <c r="M439" s="18" t="n"/>
      <c r="N439" s="18" t="n"/>
    </row>
    <row r="440">
      <c r="A440" s="18" t="n"/>
      <c r="I440" s="19" t="n"/>
      <c r="M440" s="18" t="n"/>
      <c r="N440" s="18" t="n"/>
    </row>
    <row r="441">
      <c r="A441" s="18" t="n"/>
      <c r="I441" s="19" t="n"/>
      <c r="M441" s="18" t="n"/>
      <c r="N441" s="18" t="n"/>
    </row>
    <row r="442">
      <c r="A442" s="18" t="n"/>
      <c r="I442" s="19" t="n"/>
      <c r="M442" s="18" t="n"/>
      <c r="N442" s="18" t="n"/>
    </row>
    <row r="443">
      <c r="A443" s="18" t="n"/>
      <c r="I443" s="19" t="n"/>
      <c r="M443" s="18" t="n"/>
      <c r="N443" s="18" t="n"/>
    </row>
    <row r="444">
      <c r="A444" s="18" t="n"/>
      <c r="I444" s="19" t="n"/>
      <c r="M444" s="18" t="n"/>
      <c r="N444" s="18" t="n"/>
    </row>
    <row r="445">
      <c r="A445" s="18" t="n"/>
      <c r="I445" s="19" t="n"/>
      <c r="M445" s="18" t="n"/>
      <c r="N445" s="18" t="n"/>
    </row>
    <row r="446">
      <c r="A446" s="18" t="n"/>
      <c r="I446" s="19" t="n"/>
      <c r="M446" s="18" t="n"/>
      <c r="N446" s="18" t="n"/>
    </row>
    <row r="447">
      <c r="A447" s="18" t="n"/>
      <c r="I447" s="19" t="n"/>
      <c r="M447" s="18" t="n"/>
      <c r="N447" s="18" t="n"/>
    </row>
    <row r="448">
      <c r="A448" s="18" t="n"/>
      <c r="I448" s="19" t="n"/>
      <c r="M448" s="18" t="n"/>
      <c r="N448" s="18" t="n"/>
    </row>
    <row r="449">
      <c r="A449" s="18" t="n"/>
      <c r="I449" s="19" t="n"/>
      <c r="M449" s="18" t="n"/>
      <c r="N449" s="18" t="n"/>
    </row>
    <row r="450">
      <c r="A450" s="18" t="n"/>
      <c r="I450" s="19" t="n"/>
      <c r="M450" s="18" t="n"/>
      <c r="N450" s="18" t="n"/>
    </row>
    <row r="451">
      <c r="A451" s="18" t="n"/>
      <c r="I451" s="19" t="n"/>
      <c r="M451" s="18" t="n"/>
      <c r="N451" s="18" t="n"/>
    </row>
    <row r="452">
      <c r="A452" s="18" t="n"/>
      <c r="I452" s="19" t="n"/>
      <c r="M452" s="18" t="n"/>
      <c r="N452" s="18" t="n"/>
    </row>
    <row r="453">
      <c r="A453" s="18" t="n"/>
      <c r="I453" s="19" t="n"/>
      <c r="M453" s="18" t="n"/>
      <c r="N453" s="18" t="n"/>
    </row>
    <row r="454">
      <c r="A454" s="18" t="n"/>
      <c r="I454" s="19" t="n"/>
      <c r="M454" s="18" t="n"/>
      <c r="N454" s="18" t="n"/>
    </row>
    <row r="455">
      <c r="A455" s="18" t="n"/>
      <c r="I455" s="19" t="n"/>
      <c r="M455" s="18" t="n"/>
      <c r="N455" s="18" t="n"/>
    </row>
    <row r="456">
      <c r="A456" s="18" t="n"/>
      <c r="I456" s="19" t="n"/>
      <c r="M456" s="18" t="n"/>
      <c r="N456" s="18" t="n"/>
    </row>
    <row r="457">
      <c r="A457" s="18" t="n"/>
      <c r="I457" s="19" t="n"/>
      <c r="M457" s="18" t="n"/>
      <c r="N457" s="18" t="n"/>
    </row>
    <row r="458">
      <c r="A458" s="18" t="n"/>
      <c r="I458" s="19" t="n"/>
      <c r="M458" s="18" t="n"/>
      <c r="N458" s="18" t="n"/>
    </row>
    <row r="459">
      <c r="A459" s="18" t="n"/>
      <c r="I459" s="19" t="n"/>
      <c r="M459" s="18" t="n"/>
      <c r="N459" s="18" t="n"/>
    </row>
    <row r="460">
      <c r="A460" s="18" t="n"/>
      <c r="I460" s="19" t="n"/>
      <c r="M460" s="18" t="n"/>
      <c r="N460" s="18" t="n"/>
    </row>
    <row r="461">
      <c r="A461" s="18" t="n"/>
      <c r="I461" s="19" t="n"/>
      <c r="M461" s="18" t="n"/>
      <c r="N461" s="18" t="n"/>
    </row>
    <row r="462">
      <c r="A462" s="18" t="n"/>
      <c r="I462" s="19" t="n"/>
      <c r="M462" s="18" t="n"/>
      <c r="N462" s="18" t="n"/>
    </row>
    <row r="463">
      <c r="A463" s="18" t="n"/>
      <c r="I463" s="19" t="n"/>
      <c r="M463" s="18" t="n"/>
      <c r="N463" s="18" t="n"/>
    </row>
    <row r="464">
      <c r="A464" s="18" t="n"/>
      <c r="I464" s="19" t="n"/>
      <c r="M464" s="18" t="n"/>
      <c r="N464" s="18" t="n"/>
    </row>
    <row r="465">
      <c r="A465" s="18" t="n"/>
      <c r="I465" s="19" t="n"/>
      <c r="M465" s="18" t="n"/>
      <c r="N465" s="18" t="n"/>
    </row>
    <row r="466">
      <c r="A466" s="18" t="n"/>
      <c r="I466" s="19" t="n"/>
      <c r="M466" s="18" t="n"/>
      <c r="N466" s="18" t="n"/>
    </row>
    <row r="467">
      <c r="A467" s="18" t="n"/>
      <c r="I467" s="19" t="n"/>
      <c r="M467" s="18" t="n"/>
      <c r="N467" s="18" t="n"/>
    </row>
    <row r="468">
      <c r="A468" s="18" t="n"/>
      <c r="I468" s="19" t="n"/>
      <c r="M468" s="18" t="n"/>
      <c r="N468" s="18" t="n"/>
    </row>
    <row r="469">
      <c r="A469" s="18" t="n"/>
      <c r="I469" s="19" t="n"/>
      <c r="M469" s="18" t="n"/>
      <c r="N469" s="18" t="n"/>
    </row>
    <row r="470">
      <c r="A470" s="18" t="n"/>
      <c r="I470" s="19" t="n"/>
      <c r="M470" s="18" t="n"/>
      <c r="N470" s="18" t="n"/>
    </row>
    <row r="471">
      <c r="A471" s="18" t="n"/>
      <c r="I471" s="19" t="n"/>
      <c r="M471" s="18" t="n"/>
      <c r="N471" s="18" t="n"/>
    </row>
    <row r="472">
      <c r="A472" s="18" t="n"/>
      <c r="I472" s="19" t="n"/>
      <c r="M472" s="18" t="n"/>
      <c r="N472" s="18" t="n"/>
    </row>
    <row r="473">
      <c r="A473" s="18" t="n"/>
      <c r="I473" s="19" t="n"/>
      <c r="M473" s="18" t="n"/>
      <c r="N473" s="18" t="n"/>
    </row>
    <row r="474">
      <c r="A474" s="18" t="n"/>
      <c r="I474" s="19" t="n"/>
      <c r="M474" s="18" t="n"/>
      <c r="N474" s="18" t="n"/>
    </row>
    <row r="475">
      <c r="A475" s="18" t="n"/>
      <c r="I475" s="19" t="n"/>
      <c r="M475" s="18" t="n"/>
      <c r="N475" s="18" t="n"/>
    </row>
    <row r="476">
      <c r="A476" s="18" t="n"/>
      <c r="I476" s="19" t="n"/>
      <c r="M476" s="18" t="n"/>
      <c r="N476" s="18" t="n"/>
    </row>
    <row r="477">
      <c r="A477" s="18" t="n"/>
      <c r="I477" s="19" t="n"/>
      <c r="M477" s="18" t="n"/>
      <c r="N477" s="18" t="n"/>
    </row>
    <row r="478">
      <c r="A478" s="18" t="n"/>
      <c r="I478" s="19" t="n"/>
      <c r="M478" s="18" t="n"/>
      <c r="N478" s="18" t="n"/>
    </row>
    <row r="479">
      <c r="A479" s="18" t="n"/>
      <c r="I479" s="19" t="n"/>
      <c r="M479" s="18" t="n"/>
      <c r="N479" s="18" t="n"/>
    </row>
    <row r="480">
      <c r="A480" s="18" t="n"/>
      <c r="I480" s="19" t="n"/>
      <c r="M480" s="18" t="n"/>
      <c r="N480" s="18" t="n"/>
    </row>
    <row r="481">
      <c r="A481" s="18" t="n"/>
      <c r="I481" s="19" t="n"/>
      <c r="M481" s="18" t="n"/>
      <c r="N481" s="18" t="n"/>
    </row>
    <row r="482">
      <c r="A482" s="18" t="n"/>
      <c r="I482" s="19" t="n"/>
      <c r="M482" s="18" t="n"/>
      <c r="N482" s="18" t="n"/>
    </row>
    <row r="483">
      <c r="A483" s="18" t="n"/>
      <c r="I483" s="19" t="n"/>
      <c r="M483" s="18" t="n"/>
      <c r="N483" s="18" t="n"/>
    </row>
    <row r="484">
      <c r="A484" s="18" t="n"/>
      <c r="I484" s="19" t="n"/>
      <c r="M484" s="18" t="n"/>
      <c r="N484" s="18" t="n"/>
    </row>
    <row r="485">
      <c r="A485" s="18" t="n"/>
      <c r="I485" s="19" t="n"/>
      <c r="M485" s="18" t="n"/>
      <c r="N485" s="18" t="n"/>
    </row>
    <row r="486">
      <c r="A486" s="18" t="n"/>
      <c r="I486" s="19" t="n"/>
      <c r="M486" s="18" t="n"/>
      <c r="N486" s="18" t="n"/>
    </row>
    <row r="487">
      <c r="A487" s="18" t="n"/>
      <c r="I487" s="19" t="n"/>
      <c r="M487" s="18" t="n"/>
      <c r="N487" s="18" t="n"/>
    </row>
    <row r="488">
      <c r="A488" s="18" t="n"/>
      <c r="I488" s="19" t="n"/>
      <c r="M488" s="18" t="n"/>
      <c r="N488" s="18" t="n"/>
    </row>
    <row r="489">
      <c r="A489" s="18" t="n"/>
      <c r="I489" s="19" t="n"/>
      <c r="M489" s="18" t="n"/>
      <c r="N489" s="18" t="n"/>
    </row>
    <row r="490">
      <c r="A490" s="18" t="n"/>
      <c r="I490" s="19" t="n"/>
      <c r="M490" s="18" t="n"/>
      <c r="N490" s="18" t="n"/>
    </row>
    <row r="491">
      <c r="A491" s="18" t="n"/>
      <c r="I491" s="19" t="n"/>
      <c r="M491" s="18" t="n"/>
      <c r="N491" s="18" t="n"/>
    </row>
    <row r="492">
      <c r="A492" s="18" t="n"/>
      <c r="I492" s="19" t="n"/>
      <c r="M492" s="18" t="n"/>
      <c r="N492" s="18" t="n"/>
    </row>
    <row r="493">
      <c r="A493" s="18" t="n"/>
      <c r="I493" s="19" t="n"/>
      <c r="M493" s="18" t="n"/>
      <c r="N493" s="18" t="n"/>
    </row>
    <row r="494">
      <c r="A494" s="18" t="n"/>
      <c r="I494" s="19" t="n"/>
      <c r="M494" s="18" t="n"/>
      <c r="N494" s="18" t="n"/>
    </row>
    <row r="495">
      <c r="A495" s="18" t="n"/>
      <c r="I495" s="19" t="n"/>
      <c r="M495" s="18" t="n"/>
      <c r="N495" s="18" t="n"/>
    </row>
    <row r="496">
      <c r="A496" s="18" t="n"/>
      <c r="I496" s="19" t="n"/>
      <c r="M496" s="18" t="n"/>
      <c r="N496" s="18" t="n"/>
    </row>
    <row r="497">
      <c r="A497" s="18" t="n"/>
      <c r="I497" s="19" t="n"/>
      <c r="M497" s="18" t="n"/>
      <c r="N497" s="18" t="n"/>
    </row>
    <row r="498">
      <c r="A498" s="18" t="n"/>
      <c r="I498" s="19" t="n"/>
      <c r="M498" s="18" t="n"/>
      <c r="N498" s="18" t="n"/>
    </row>
    <row r="499">
      <c r="A499" s="18" t="n"/>
      <c r="I499" s="19" t="n"/>
      <c r="M499" s="18" t="n"/>
      <c r="N499" s="18" t="n"/>
    </row>
    <row r="500">
      <c r="A500" s="18" t="n"/>
      <c r="I500" s="19" t="n"/>
      <c r="M500" s="18" t="n"/>
      <c r="N500" s="18" t="n"/>
    </row>
  </sheetData>
  <mergeCells count="6">
    <mergeCell ref="A2:O2"/>
    <mergeCell ref="A1:P1"/>
    <mergeCell ref="A1:O1"/>
    <mergeCell ref="A2:Q2"/>
    <mergeCell ref="A1:Q1"/>
    <mergeCell ref="A2:P2"/>
  </mergeCells>
  <dataValidations count="6">
    <dataValidation sqref="D4:D500" showDropDown="0" showInputMessage="0" showErrorMessage="0" allowBlank="1" type="list">
      <formula1>"LÍNEA PAULA,LOUI (bot),GERENCIA,REFERIDO,COLEGIO,EMPRESA,GRUPO FB,LINKEDIN,OTRO"</formula1>
    </dataValidation>
    <dataValidation sqref="F4:F500" showDropDown="0" showInputMessage="0" showErrorMessage="0" allowBlank="1" type="list">
      <formula1>"PAULA,GERENCIA,MARÍA EUGENIA,ASESORA SEDE"</formula1>
    </dataValidation>
    <dataValidation sqref="G4:G500" showDropDown="0" showInputMessage="0" showErrorMessage="0" allowBlank="1" type="list">
      <formula1>"S,N"</formula1>
    </dataValidation>
    <dataValidation sqref="J4:J500" showDropDown="0" showInputMessage="0" showErrorMessage="0" allowBlank="1" type="list">
      <formula1>"S,N"</formula1>
    </dataValidation>
    <dataValidation sqref="K4:K500" showDropDown="0" showInputMessage="0" showErrorMessage="0" allowBlank="1" type="list">
      <formula1>"CONTACTADO,CITA AGENDADA,OFERTA VIGENTE,ABONO,MATRICULADO,VENCIÓ,NO + motivo"</formula1>
    </dataValidation>
    <dataValidation sqref="P4:P500" showDropDown="0" showInputMessage="0" showErrorMessage="0" allowBlank="1" type="list">
      <formula1>"8,10,5,2.5,1,0"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ht="30" customHeight="1">
      <c r="A1" s="7" t="inlineStr">
        <is>
          <t>TODO se calcula solo desde el REGISTRO MAESTRO. Aquí no se escribe nada. Qué se le DICE al cliente según el contador de cupos: DUDA #4 del Kit.</t>
        </is>
      </c>
    </row>
    <row r="3">
      <c r="A3" s="11" t="inlineStr">
        <is>
          <t>CUPOS ARRANQUE VENDIDOS (de 20)</t>
        </is>
      </c>
      <c r="B3" s="12">
        <f>COUNTIF('REGISTRO MAESTRO'!K4:K500,"MATRICULADO")</f>
        <v/>
      </c>
    </row>
    <row r="4">
      <c r="A4" s="11" t="inlineStr">
        <is>
          <t>Abonos de separación vigentes</t>
        </is>
      </c>
      <c r="B4" s="12">
        <f>COUNTIF('REGISTRO MAESTRO'!K4:K500,"ABONO")</f>
        <v/>
      </c>
    </row>
    <row r="5">
      <c r="A5" s="11" t="inlineStr">
        <is>
          <t>Ofertas vivas (sin vencer)</t>
        </is>
      </c>
      <c r="B5" s="12">
        <f>COUNTIF('REGISTRO MAESTRO'!K4:K500,"OFERTA VIGENTE")</f>
        <v/>
      </c>
    </row>
    <row r="7">
      <c r="A7" s="13" t="inlineStr">
        <is>
          <t>SEMANA (lunes a sábado)</t>
        </is>
      </c>
      <c r="B7" s="13" t="inlineStr">
        <is>
          <t>META</t>
        </is>
      </c>
      <c r="C7" s="13" t="inlineStr">
        <is>
          <t>21/9 – 26/9</t>
        </is>
      </c>
      <c r="D7" s="13" t="inlineStr">
        <is>
          <t>28/9 – 3/10</t>
        </is>
      </c>
      <c r="E7" s="13" t="inlineStr">
        <is>
          <t>5/10 – 10/10</t>
        </is>
      </c>
      <c r="F7" s="13" t="inlineStr">
        <is>
          <t>12/10 – 17/10</t>
        </is>
      </c>
      <c r="G7" s="13" t="inlineStr">
        <is>
          <t>19/10 – 24/10</t>
        </is>
      </c>
      <c r="H7" s="13" t="inlineStr">
        <is>
          <t>26/10 – 31/10</t>
        </is>
      </c>
      <c r="I7" s="13" t="inlineStr">
        <is>
          <t>2/11 – 7/11</t>
        </is>
      </c>
      <c r="J7" s="13" t="inlineStr">
        <is>
          <t>9/11 – 14/11</t>
        </is>
      </c>
    </row>
    <row r="8">
      <c r="A8" s="10" t="inlineStr">
        <is>
          <t>Desde (lunes)</t>
        </is>
      </c>
      <c r="C8" s="18" t="n">
        <v>46286</v>
      </c>
      <c r="D8" s="18" t="n">
        <v>46293</v>
      </c>
      <c r="E8" s="18" t="n">
        <v>46300</v>
      </c>
      <c r="F8" s="18" t="n">
        <v>46307</v>
      </c>
      <c r="G8" s="18" t="n">
        <v>46314</v>
      </c>
      <c r="H8" s="18" t="n">
        <v>46321</v>
      </c>
      <c r="I8" s="18" t="n">
        <v>46328</v>
      </c>
      <c r="J8" s="18" t="n">
        <v>46335</v>
      </c>
    </row>
    <row r="9">
      <c r="A9" s="10" t="inlineStr">
        <is>
          <t>Hasta (domingo)</t>
        </is>
      </c>
      <c r="C9" s="18" t="n">
        <v>46292</v>
      </c>
      <c r="D9" s="18" t="n">
        <v>46299</v>
      </c>
      <c r="E9" s="18" t="n">
        <v>46306</v>
      </c>
      <c r="F9" s="18" t="n">
        <v>46313</v>
      </c>
      <c r="G9" s="18" t="n">
        <v>46320</v>
      </c>
      <c r="H9" s="18" t="n">
        <v>46327</v>
      </c>
      <c r="I9" s="18" t="n">
        <v>46334</v>
      </c>
      <c r="J9" s="18" t="n">
        <v>46341</v>
      </c>
    </row>
    <row r="10">
      <c r="A10" s="11" t="inlineStr">
        <is>
          <t>Contactos nuevos registrados</t>
        </is>
      </c>
      <c r="B10" s="14" t="n">
        <v>200</v>
      </c>
      <c r="C10">
        <f>COUNTIFS('REGISTRO MAESTRO'!$A$4:$A$500,"&gt;="&amp;C$8,'REGISTRO MAESTRO'!$A$4:$A$500,"&lt;="&amp;C$9)</f>
        <v/>
      </c>
      <c r="D10">
        <f>COUNTIFS('REGISTRO MAESTRO'!$A$4:$A$500,"&gt;="&amp;D$8,'REGISTRO MAESTRO'!$A$4:$A$500,"&lt;="&amp;D$9)</f>
        <v/>
      </c>
      <c r="E10">
        <f>COUNTIFS('REGISTRO MAESTRO'!$A$4:$A$500,"&gt;="&amp;E$8,'REGISTRO MAESTRO'!$A$4:$A$500,"&lt;="&amp;E$9)</f>
        <v/>
      </c>
      <c r="F10">
        <f>COUNTIFS('REGISTRO MAESTRO'!$A$4:$A$500,"&gt;="&amp;F$8,'REGISTRO MAESTRO'!$A$4:$A$500,"&lt;="&amp;F$9)</f>
        <v/>
      </c>
      <c r="G10">
        <f>COUNTIFS('REGISTRO MAESTRO'!$A$4:$A$500,"&gt;="&amp;G$8,'REGISTRO MAESTRO'!$A$4:$A$500,"&lt;="&amp;G$9)</f>
        <v/>
      </c>
      <c r="H10">
        <f>COUNTIFS('REGISTRO MAESTRO'!$A$4:$A$500,"&gt;="&amp;H$8,'REGISTRO MAESTRO'!$A$4:$A$500,"&lt;="&amp;H$9)</f>
        <v/>
      </c>
      <c r="I10">
        <f>COUNTIFS('REGISTRO MAESTRO'!$A$4:$A$500,"&gt;="&amp;I$8,'REGISTRO MAESTRO'!$A$4:$A$500,"&lt;="&amp;I$9)</f>
        <v/>
      </c>
      <c r="J10">
        <f>COUNTIFS('REGISTRO MAESTRO'!$A$4:$A$500,"&gt;="&amp;J$8,'REGISTRO MAESTRO'!$A$4:$A$500,"&lt;="&amp;J$9)</f>
        <v/>
      </c>
    </row>
    <row r="11">
      <c r="A11" s="11" t="inlineStr">
        <is>
          <t>Citas agendadas</t>
        </is>
      </c>
      <c r="B11" s="14" t="n">
        <v>25</v>
      </c>
      <c r="C11">
        <f>COUNTIFS('REGISTRO MAESTRO'!$I$4:$I$500,"&gt;="&amp;C$8,'REGISTRO MAESTRO'!$I$4:$I$500,"&lt;"&amp;C$9+1)</f>
        <v/>
      </c>
      <c r="D11">
        <f>COUNTIFS('REGISTRO MAESTRO'!$I$4:$I$500,"&gt;="&amp;D$8,'REGISTRO MAESTRO'!$I$4:$I$500,"&lt;"&amp;D$9+1)</f>
        <v/>
      </c>
      <c r="E11">
        <f>COUNTIFS('REGISTRO MAESTRO'!$I$4:$I$500,"&gt;="&amp;E$8,'REGISTRO MAESTRO'!$I$4:$I$500,"&lt;"&amp;E$9+1)</f>
        <v/>
      </c>
      <c r="F11">
        <f>COUNTIFS('REGISTRO MAESTRO'!$I$4:$I$500,"&gt;="&amp;F$8,'REGISTRO MAESTRO'!$I$4:$I$500,"&lt;"&amp;F$9+1)</f>
        <v/>
      </c>
      <c r="G11">
        <f>COUNTIFS('REGISTRO MAESTRO'!$I$4:$I$500,"&gt;="&amp;G$8,'REGISTRO MAESTRO'!$I$4:$I$500,"&lt;"&amp;G$9+1)</f>
        <v/>
      </c>
      <c r="H11">
        <f>COUNTIFS('REGISTRO MAESTRO'!$I$4:$I$500,"&gt;="&amp;H$8,'REGISTRO MAESTRO'!$I$4:$I$500,"&lt;"&amp;H$9+1)</f>
        <v/>
      </c>
      <c r="I11">
        <f>COUNTIFS('REGISTRO MAESTRO'!$I$4:$I$500,"&gt;="&amp;I$8,'REGISTRO MAESTRO'!$I$4:$I$500,"&lt;"&amp;I$9+1)</f>
        <v/>
      </c>
      <c r="J11">
        <f>COUNTIFS('REGISTRO MAESTRO'!$I$4:$I$500,"&gt;="&amp;J$8,'REGISTRO MAESTRO'!$I$4:$I$500,"&lt;"&amp;J$9+1)</f>
        <v/>
      </c>
    </row>
    <row r="12">
      <c r="A12" s="11" t="inlineStr">
        <is>
          <t>Citas asistidas</t>
        </is>
      </c>
      <c r="B12" s="14" t="n">
        <v>12</v>
      </c>
      <c r="C12">
        <f>COUNTIFS('REGISTRO MAESTRO'!$I$4:$I$500,"&gt;="&amp;C$8,'REGISTRO MAESTRO'!$I$4:$I$500,"&lt;"&amp;C$9+1,'REGISTRO MAESTRO'!$J$4:$J$500,"S")</f>
        <v/>
      </c>
      <c r="D12">
        <f>COUNTIFS('REGISTRO MAESTRO'!$I$4:$I$500,"&gt;="&amp;D$8,'REGISTRO MAESTRO'!$I$4:$I$500,"&lt;"&amp;D$9+1,'REGISTRO MAESTRO'!$J$4:$J$500,"S")</f>
        <v/>
      </c>
      <c r="E12">
        <f>COUNTIFS('REGISTRO MAESTRO'!$I$4:$I$500,"&gt;="&amp;E$8,'REGISTRO MAESTRO'!$I$4:$I$500,"&lt;"&amp;E$9+1,'REGISTRO MAESTRO'!$J$4:$J$500,"S")</f>
        <v/>
      </c>
      <c r="F12">
        <f>COUNTIFS('REGISTRO MAESTRO'!$I$4:$I$500,"&gt;="&amp;F$8,'REGISTRO MAESTRO'!$I$4:$I$500,"&lt;"&amp;F$9+1,'REGISTRO MAESTRO'!$J$4:$J$500,"S")</f>
        <v/>
      </c>
      <c r="G12">
        <f>COUNTIFS('REGISTRO MAESTRO'!$I$4:$I$500,"&gt;="&amp;G$8,'REGISTRO MAESTRO'!$I$4:$I$500,"&lt;"&amp;G$9+1,'REGISTRO MAESTRO'!$J$4:$J$500,"S")</f>
        <v/>
      </c>
      <c r="H12">
        <f>COUNTIFS('REGISTRO MAESTRO'!$I$4:$I$500,"&gt;="&amp;H$8,'REGISTRO MAESTRO'!$I$4:$I$500,"&lt;"&amp;H$9+1,'REGISTRO MAESTRO'!$J$4:$J$500,"S")</f>
        <v/>
      </c>
      <c r="I12">
        <f>COUNTIFS('REGISTRO MAESTRO'!$I$4:$I$500,"&gt;="&amp;I$8,'REGISTRO MAESTRO'!$I$4:$I$500,"&lt;"&amp;I$9+1,'REGISTRO MAESTRO'!$J$4:$J$500,"S")</f>
        <v/>
      </c>
      <c r="J12">
        <f>COUNTIFS('REGISTRO MAESTRO'!$I$4:$I$500,"&gt;="&amp;J$8,'REGISTRO MAESTRO'!$I$4:$I$500,"&lt;"&amp;J$9+1,'REGISTRO MAESTRO'!$J$4:$J$500,"S")</f>
        <v/>
      </c>
    </row>
    <row r="13">
      <c r="A13" s="11" t="inlineStr">
        <is>
          <t>Abonos de la semana</t>
        </is>
      </c>
      <c r="B13" s="14" t="inlineStr"/>
      <c r="C13">
        <f>COUNTIFS('REGISTRO MAESTRO'!$M$4:$M$500,"&gt;="&amp;C$8,'REGISTRO MAESTRO'!$M$4:$M$500,"&lt;="&amp;C$9)</f>
        <v/>
      </c>
      <c r="D13">
        <f>COUNTIFS('REGISTRO MAESTRO'!$M$4:$M$500,"&gt;="&amp;D$8,'REGISTRO MAESTRO'!$M$4:$M$500,"&lt;="&amp;D$9)</f>
        <v/>
      </c>
      <c r="E13">
        <f>COUNTIFS('REGISTRO MAESTRO'!$M$4:$M$500,"&gt;="&amp;E$8,'REGISTRO MAESTRO'!$M$4:$M$500,"&lt;="&amp;E$9)</f>
        <v/>
      </c>
      <c r="F13">
        <f>COUNTIFS('REGISTRO MAESTRO'!$M$4:$M$500,"&gt;="&amp;F$8,'REGISTRO MAESTRO'!$M$4:$M$500,"&lt;="&amp;F$9)</f>
        <v/>
      </c>
      <c r="G13">
        <f>COUNTIFS('REGISTRO MAESTRO'!$M$4:$M$500,"&gt;="&amp;G$8,'REGISTRO MAESTRO'!$M$4:$M$500,"&lt;="&amp;G$9)</f>
        <v/>
      </c>
      <c r="H13">
        <f>COUNTIFS('REGISTRO MAESTRO'!$M$4:$M$500,"&gt;="&amp;H$8,'REGISTRO MAESTRO'!$M$4:$M$500,"&lt;="&amp;H$9)</f>
        <v/>
      </c>
      <c r="I13">
        <f>COUNTIFS('REGISTRO MAESTRO'!$M$4:$M$500,"&gt;="&amp;I$8,'REGISTRO MAESTRO'!$M$4:$M$500,"&lt;="&amp;I$9)</f>
        <v/>
      </c>
      <c r="J13">
        <f>COUNTIFS('REGISTRO MAESTRO'!$M$4:$M$500,"&gt;="&amp;J$8,'REGISTRO MAESTRO'!$M$4:$M$500,"&lt;="&amp;J$9)</f>
        <v/>
      </c>
    </row>
    <row r="14">
      <c r="A14" s="11" t="inlineStr">
        <is>
          <t>Matrículas de la semana</t>
        </is>
      </c>
      <c r="B14" s="14" t="inlineStr">
        <is>
          <t>4-5</t>
        </is>
      </c>
      <c r="C14">
        <f>COUNTIFS('REGISTRO MAESTRO'!$N$4:$N$500,"&gt;="&amp;C$8,'REGISTRO MAESTRO'!$N$4:$N$500,"&lt;="&amp;C$9)</f>
        <v/>
      </c>
      <c r="D14">
        <f>COUNTIFS('REGISTRO MAESTRO'!$N$4:$N$500,"&gt;="&amp;D$8,'REGISTRO MAESTRO'!$N$4:$N$500,"&lt;="&amp;D$9)</f>
        <v/>
      </c>
      <c r="E14">
        <f>COUNTIFS('REGISTRO MAESTRO'!$N$4:$N$500,"&gt;="&amp;E$8,'REGISTRO MAESTRO'!$N$4:$N$500,"&lt;="&amp;E$9)</f>
        <v/>
      </c>
      <c r="F14">
        <f>COUNTIFS('REGISTRO MAESTRO'!$N$4:$N$500,"&gt;="&amp;F$8,'REGISTRO MAESTRO'!$N$4:$N$500,"&lt;="&amp;F$9)</f>
        <v/>
      </c>
      <c r="G14">
        <f>COUNTIFS('REGISTRO MAESTRO'!$N$4:$N$500,"&gt;="&amp;G$8,'REGISTRO MAESTRO'!$N$4:$N$500,"&lt;="&amp;G$9)</f>
        <v/>
      </c>
      <c r="H14">
        <f>COUNTIFS('REGISTRO MAESTRO'!$N$4:$N$500,"&gt;="&amp;H$8,'REGISTRO MAESTRO'!$N$4:$N$500,"&lt;="&amp;H$9)</f>
        <v/>
      </c>
      <c r="I14">
        <f>COUNTIFS('REGISTRO MAESTRO'!$N$4:$N$500,"&gt;="&amp;I$8,'REGISTRO MAESTRO'!$N$4:$N$500,"&lt;="&amp;I$9)</f>
        <v/>
      </c>
      <c r="J14">
        <f>COUNTIFS('REGISTRO MAESTRO'!$N$4:$N$500,"&gt;="&amp;J$8,'REGISTRO MAESTRO'!$N$4:$N$500,"&lt;="&amp;J$9)</f>
        <v/>
      </c>
    </row>
    <row r="15">
      <c r="A15" s="11" t="inlineStr">
        <is>
          <t>Caja de la semana ($)</t>
        </is>
      </c>
      <c r="B15" s="14" t="inlineStr"/>
      <c r="C15" s="20">
        <f>SUMIFS('REGISTRO MAESTRO'!$O$4:$O$500,'REGISTRO MAESTRO'!$N$4:$N$500,"&gt;="&amp;C$8,'REGISTRO MAESTRO'!$N$4:$N$500,"&lt;="&amp;C$9)</f>
        <v/>
      </c>
      <c r="D15" s="20">
        <f>SUMIFS('REGISTRO MAESTRO'!$O$4:$O$500,'REGISTRO MAESTRO'!$N$4:$N$500,"&gt;="&amp;D$8,'REGISTRO MAESTRO'!$N$4:$N$500,"&lt;="&amp;D$9)</f>
        <v/>
      </c>
      <c r="E15" s="20">
        <f>SUMIFS('REGISTRO MAESTRO'!$O$4:$O$500,'REGISTRO MAESTRO'!$N$4:$N$500,"&gt;="&amp;E$8,'REGISTRO MAESTRO'!$N$4:$N$500,"&lt;="&amp;E$9)</f>
        <v/>
      </c>
      <c r="F15" s="20">
        <f>SUMIFS('REGISTRO MAESTRO'!$O$4:$O$500,'REGISTRO MAESTRO'!$N$4:$N$500,"&gt;="&amp;F$8,'REGISTRO MAESTRO'!$N$4:$N$500,"&lt;="&amp;F$9)</f>
        <v/>
      </c>
      <c r="G15" s="20">
        <f>SUMIFS('REGISTRO MAESTRO'!$O$4:$O$500,'REGISTRO MAESTRO'!$N$4:$N$500,"&gt;="&amp;G$8,'REGISTRO MAESTRO'!$N$4:$N$500,"&lt;="&amp;G$9)</f>
        <v/>
      </c>
      <c r="H15" s="20">
        <f>SUMIFS('REGISTRO MAESTRO'!$O$4:$O$500,'REGISTRO MAESTRO'!$N$4:$N$500,"&gt;="&amp;H$8,'REGISTRO MAESTRO'!$N$4:$N$500,"&lt;="&amp;H$9)</f>
        <v/>
      </c>
      <c r="I15" s="20">
        <f>SUMIFS('REGISTRO MAESTRO'!$O$4:$O$500,'REGISTRO MAESTRO'!$N$4:$N$500,"&gt;="&amp;I$8,'REGISTRO MAESTRO'!$N$4:$N$500,"&lt;="&amp;I$9)</f>
        <v/>
      </c>
      <c r="J15" s="20">
        <f>SUMIFS('REGISTRO MAESTRO'!$O$4:$O$500,'REGISTRO MAESTRO'!$N$4:$N$500,"&gt;="&amp;J$8,'REGISTRO MAESTRO'!$N$4:$N$500,"&lt;="&amp;J$9)</f>
        <v/>
      </c>
    </row>
    <row r="17" ht="58" customHeight="1">
      <c r="A17" s="15" t="inlineStr">
        <is>
          <t>Cómo se lee: se compara cada semana con la META. Si las citas agendadas van por debajo de la mitad de la meta dos semanas seguidas, el problema es de volumen (más contactos). Si se agendan pero no asisten, el problema es de confirmación (llamar el día anterior). "Contactos nuevos" cuenta las filas nuevas del maestro esa semana: por eso cada contacto se registra el día que se toca por primera vez.</t>
        </is>
      </c>
    </row>
  </sheetData>
  <mergeCells count="2">
    <mergeCell ref="A1:J1"/>
    <mergeCell ref="A17:J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2026-09-14T20:28:27Z</dcterms:created>
  <dcterms:modified xmlns:dcterms="http://purl.org/dc/terms/" xmlns:xsi="http://www.w3.org/2001/XMLSchema-instance" xsi:type="dcterms:W3CDTF">2026-09-22T21:28:56Z</dcterms:modified>
</cp:coreProperties>
</file>