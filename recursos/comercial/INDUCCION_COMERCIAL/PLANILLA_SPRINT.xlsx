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RO MAESTRO" sheetId="1" state="visible" r:id="rId1"/>
    <sheet xmlns:r="http://schemas.openxmlformats.org/officeDocument/2006/relationships" name="OFERTAS Y VENCIMIENTOS" sheetId="2" state="visible" r:id="rId2"/>
    <sheet xmlns:r="http://schemas.openxmlformats.org/officeDocument/2006/relationships" name="FUERA DEL BOT" sheetId="3" state="visible" r:id="rId3"/>
    <sheet xmlns:r="http://schemas.openxmlformats.org/officeDocument/2006/relationships" name="TERMÓMETRO" sheetId="4" state="visible" r:id="rId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C00000"/>
      <sz val="10"/>
    </font>
    <font>
      <b val="1"/>
      <color rgb="00FFFFFF"/>
      <sz val="11"/>
    </font>
    <font>
      <sz val="11"/>
    </font>
    <font>
      <b val="1"/>
      <sz val="11"/>
    </font>
    <font>
      <b val="1"/>
      <sz val="10"/>
    </font>
    <font>
      <sz val="10"/>
    </font>
    <font>
      <b val="1"/>
      <color rgb="00FFFFFF"/>
    </font>
    <font>
      <i val="1"/>
      <color rgb="00777777"/>
    </font>
    <font>
      <b val="1"/>
    </font>
    <font>
      <b val="1"/>
      <sz val="12"/>
    </font>
  </fonts>
  <fills count="4">
    <fill>
      <patternFill/>
    </fill>
    <fill>
      <patternFill patternType="gray125"/>
    </fill>
    <fill>
      <patternFill patternType="solid">
        <fgColor rgb="00E54C09"/>
      </patternFill>
    </fill>
    <fill>
      <patternFill patternType="solid">
        <fgColor rgb="00FFF8E7"/>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0" borderId="0" pivotButton="0" quotePrefix="0" xfId="0"/>
    <xf numFmtId="0" fontId="2" fillId="2" borderId="1" pivotButton="0" quotePrefix="0" xfId="0"/>
    <xf numFmtId="0" fontId="3" fillId="3" borderId="1" pivotButton="0" quotePrefix="0" xfId="0"/>
    <xf numFmtId="0" fontId="4" fillId="3" borderId="1" pivotButton="0" quotePrefix="0" xfId="0"/>
    <xf numFmtId="0" fontId="0" fillId="0" borderId="1" pivotButton="0" quotePrefix="0" xfId="0"/>
    <xf numFmtId="0" fontId="3" fillId="0" borderId="1"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wrapText="1"/>
    </xf>
    <xf numFmtId="0" fontId="8" fillId="0" borderId="0" pivotButton="0" quotePrefix="0" xfId="0"/>
    <xf numFmtId="0" fontId="9" fillId="3" borderId="0" pivotButton="0" quotePrefix="0" xfId="0"/>
    <xf numFmtId="0" fontId="10" fillId="0" borderId="0" pivotButton="0" quotePrefix="0" xfId="0"/>
    <xf numFmtId="0" fontId="7" fillId="2"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
  <sheetViews>
    <sheetView workbookViewId="0">
      <pane ySplit="3" topLeftCell="A4" activePane="bottomLeft" state="frozen"/>
      <selection pane="bottomLeft" activeCell="A1" sqref="A1"/>
    </sheetView>
  </sheetViews>
  <sheetFormatPr baseColWidth="8" defaultRowHeight="15"/>
  <cols>
    <col width="14" customWidth="1" min="1" max="1"/>
    <col width="24" customWidth="1" min="2" max="2"/>
    <col width="14" customWidth="1" min="3" max="3"/>
    <col width="18" customWidth="1" min="4" max="4"/>
    <col width="16" customWidth="1" min="5" max="5"/>
    <col width="12" customWidth="1" min="6" max="6"/>
    <col width="16" customWidth="1" min="7" max="7"/>
    <col width="16" customWidth="1" min="8" max="8"/>
    <col width="18" customWidth="1" min="9" max="9"/>
    <col width="26" customWidth="1" min="10" max="10"/>
    <col width="16" customWidth="1" min="11" max="11"/>
    <col width="14" customWidth="1" min="12" max="12"/>
    <col width="16" customWidth="1" min="13" max="13"/>
    <col width="12" customWidth="1" min="14" max="14"/>
    <col width="34" customWidth="1" min="15" max="15"/>
  </cols>
  <sheetData>
    <row r="1" ht="42" customHeight="1">
      <c r="A1" s="7" t="inlineStr">
        <is>
          <t>TODO contacto entra AQUÍ desde el primer mensaje o llamada, sin importar por dónde llegó. Esta hoja es la que define de quién es cada cliente y liquida las comisiones: lo que no está aquí, no existe. En caso de dos vendedores, el cliente es de quien lo registró primero.</t>
        </is>
      </c>
    </row>
    <row r="2" ht="28" customHeight="1">
      <c r="A2" s="8" t="inlineStr">
        <is>
          <t>Las columnas con LISTA: haz clic EN la celda y aparece la flechita. Si el archivo se abre en Vista protegida (franja amarilla), dale HABILITAR EDICIÓN.</t>
        </is>
      </c>
    </row>
    <row r="3" ht="32" customHeight="1">
      <c r="A3" s="9" t="inlineStr">
        <is>
          <t>Fecha 1er contacto</t>
        </is>
      </c>
      <c r="B3" s="9" t="inlineStr">
        <is>
          <t>Nombre y APELLIDO</t>
        </is>
      </c>
      <c r="C3" s="9" t="inlineStr">
        <is>
          <t>Teléfono</t>
        </is>
      </c>
      <c r="D3" s="9" t="inlineStr">
        <is>
          <t>Canal de llegada</t>
        </is>
      </c>
      <c r="E3" s="9" t="inlineStr">
        <is>
          <t>Quién lo atiende</t>
        </is>
      </c>
      <c r="F3" s="9" t="inlineStr">
        <is>
          <t>Cajasan (S/N)</t>
        </is>
      </c>
      <c r="G3" s="9" t="inlineStr">
        <is>
          <t>EF SET (puntaje / nivel)</t>
        </is>
      </c>
      <c r="H3" s="9" t="inlineStr">
        <is>
          <t>Cita (fecha + hora)</t>
        </is>
      </c>
      <c r="I3" s="9" t="inlineStr">
        <is>
          <t>Estado</t>
        </is>
      </c>
      <c r="J3" s="9" t="inlineStr">
        <is>
          <t>Qué se ofreció ($ y programa)</t>
        </is>
      </c>
      <c r="K3" s="9" t="inlineStr">
        <is>
          <t>Abono $300k (fecha)</t>
        </is>
      </c>
      <c r="L3" s="9" t="inlineStr">
        <is>
          <t>Matrícula (fecha)</t>
        </is>
      </c>
      <c r="M3" s="9" t="inlineStr">
        <is>
          <t>Recaudo a caja ($)</t>
        </is>
      </c>
      <c r="N3" s="9" t="inlineStr">
        <is>
          <t>Comisión (%)</t>
        </is>
      </c>
      <c r="O3" s="9" t="inlineStr">
        <is>
          <t>Motivo real / próximo paso (con fecha)</t>
        </is>
      </c>
    </row>
    <row r="4">
      <c r="A4" s="10" t="inlineStr">
        <is>
          <t>22/09</t>
        </is>
      </c>
      <c r="B4" s="10" t="inlineStr">
        <is>
          <t>Andrea Flórez</t>
        </is>
      </c>
      <c r="C4" s="10" t="inlineStr">
        <is>
          <t>300 000 0000</t>
        </is>
      </c>
      <c r="D4" s="10" t="inlineStr">
        <is>
          <t>GERENCIA</t>
        </is>
      </c>
      <c r="E4" s="10" t="inlineStr">
        <is>
          <t>PAULA</t>
        </is>
      </c>
      <c r="F4" s="10" t="inlineStr">
        <is>
          <t>N</t>
        </is>
      </c>
      <c r="G4" s="10" t="inlineStr">
        <is>
          <t>48 / A2</t>
        </is>
      </c>
      <c r="H4" s="10" t="inlineStr">
        <is>
          <t>24/09 7pm</t>
        </is>
      </c>
      <c r="I4" s="10" t="inlineStr">
        <is>
          <t>CITA AGENDADA</t>
        </is>
      </c>
      <c r="J4" s="10" t="inlineStr">
        <is>
          <t>Arranque $2.990.000</t>
        </is>
      </c>
      <c r="K4" s="10" t="inlineStr"/>
      <c r="L4" s="10" t="inlineStr"/>
      <c r="M4" s="10" t="inlineStr"/>
      <c r="N4" s="10" t="inlineStr">
        <is>
          <t>5</t>
        </is>
      </c>
      <c r="O4" s="10" t="inlineStr">
        <is>
          <t>Tibio de la casa asignado a Paula el 22/09; contado en octubre</t>
        </is>
      </c>
    </row>
  </sheetData>
  <mergeCells count="2">
    <mergeCell ref="A1:O1"/>
    <mergeCell ref="A2:O2"/>
  </mergeCells>
  <dataValidations count="5">
    <dataValidation sqref="D4:D500" showDropDown="0" showInputMessage="0" showErrorMessage="0" allowBlank="1" type="list">
      <formula1>"LÍNEA PAULA,LOUI (bot),GERENCIA,REFERIDO,COLEGIO,EMPRESA,GRUPO FB,LINKEDIN"</formula1>
    </dataValidation>
    <dataValidation sqref="E4:E500" showDropDown="0" showInputMessage="0" showErrorMessage="0" allowBlank="1" type="list">
      <formula1>"PAULA,GERENCIA,MARÍA EUGENIA,ASESORA SEDE"</formula1>
    </dataValidation>
    <dataValidation sqref="F4:F500" showDropDown="0" showInputMessage="0" showErrorMessage="0" allowBlank="1" type="list">
      <formula1>"S,N"</formula1>
    </dataValidation>
    <dataValidation sqref="I4:I500" showDropDown="0" showInputMessage="0" showErrorMessage="0" allowBlank="1" type="list">
      <formula1>"CONTACTADO,CITA AGENDADA,OFERTA VIGENTE,ABONO,MATRICULADO,VENCIÓ,NO + motivo"</formula1>
    </dataValidation>
    <dataValidation sqref="N4:N500" showDropDown="0" showInputMessage="0" showErrorMessage="0" allowBlank="1" type="list">
      <formula1>"8,10,5,2.5,1,0"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s>
  <sheetData>
    <row r="1">
      <c r="A1" s="1" t="inlineStr">
        <is>
          <t>TODA oferta que no cierra sale POR ESCRITO y entra AQUÍ el mismo día. Rutina diaria: filtrar la columna VENCE por HOY y llamar. La fecha SE CUMPLE: vencida = vencida.</t>
        </is>
      </c>
    </row>
    <row r="2">
      <c r="A2" s="1" t="inlineStr">
        <is>
          <t>Las columnas con LISTA: haz clic EN la celda y aparece la flechita a la derecha. Si el archivo se abre en Vista protegida (franja amarilla), dale HABILITAR EDICION para que funcionen.</t>
        </is>
      </c>
    </row>
    <row r="3">
      <c r="A3" s="2" t="inlineStr">
        <is>
          <t>Fecha oferta</t>
        </is>
      </c>
      <c r="B3" s="2" t="inlineStr">
        <is>
          <t>Nombre y APELLIDO</t>
        </is>
      </c>
      <c r="C3" s="2" t="inlineStr">
        <is>
          <t>Teléfono</t>
        </is>
      </c>
      <c r="D3" s="2" t="inlineStr">
        <is>
          <t>Qué se ofreció ($ y programa)</t>
        </is>
      </c>
      <c r="E3" s="2" t="inlineStr">
        <is>
          <t>VENCE (fecha + 6 PM)</t>
        </is>
      </c>
      <c r="F3" s="2" t="inlineStr">
        <is>
          <t>Abono $300k (S/N)</t>
        </is>
      </c>
      <c r="G3" s="2" t="inlineStr">
        <is>
          <t>Llamada de vencimiento (fecha)</t>
        </is>
      </c>
      <c r="H3" s="2" t="inlineStr">
        <is>
          <t>Estado (CERRÓ / VENCIÓ / RE-PRESENTADA)</t>
        </is>
      </c>
      <c r="I3" s="2" t="inlineStr">
        <is>
          <t>Motivo / próximo paso</t>
        </is>
      </c>
    </row>
    <row r="4">
      <c r="A4" s="3" t="inlineStr">
        <is>
          <t>15/09</t>
        </is>
      </c>
      <c r="B4" s="3" t="inlineStr">
        <is>
          <t>Andrea Gómez</t>
        </is>
      </c>
      <c r="C4" s="3" t="inlineStr">
        <is>
          <t>300 123 4567</t>
        </is>
      </c>
      <c r="D4" s="3" t="inlineStr">
        <is>
          <t>Arranque $2.990.000</t>
        </is>
      </c>
      <c r="E4" s="3" t="inlineStr">
        <is>
          <t>18/09 6PM</t>
        </is>
      </c>
      <c r="F4" s="3" t="inlineStr">
        <is>
          <t>N</t>
        </is>
      </c>
      <c r="G4" s="3" t="inlineStr">
        <is>
          <t>18/09</t>
        </is>
      </c>
      <c r="H4" s="3" t="inlineStr">
        <is>
          <t>VENCIÓ</t>
        </is>
      </c>
      <c r="I4" s="3" t="inlineStr">
        <is>
          <t>La prima de dic — rescate en nov</t>
        </is>
      </c>
    </row>
  </sheetData>
  <dataValidations count="3">
    <dataValidation sqref="D4:D500" showDropDown="0" showInputMessage="0" showErrorMessage="1" allowBlank="1" error="Elige una opción de la lista" type="list">
      <formula1>"Arranque $2.990.000,A1-B2 completo,A2-B2,B1-B2,Solo B2,Nivel suelto,Sabatino,Personalizadas"</formula1>
    </dataValidation>
    <dataValidation sqref="F4:F500" showDropDown="0" showInputMessage="0" showErrorMessage="1" allowBlank="1" error="Elige una opción de la lista" type="list">
      <formula1>"S,N"</formula1>
    </dataValidation>
    <dataValidation sqref="H4:H500" showDropDown="0" showInputMessage="0" showErrorMessage="1" allowBlank="1" error="Elige una opción de la lista" type="list">
      <formula1>"VIGENTE,CERRÓ,VENCIÓ,RE-PRESENTADA"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c r="A1" s="1" t="inlineStr">
        <is>
          <t>Todo contacto que NO nació en el bot vive aquí: colegios (talleres), empresas (becados), grupos de Facebook, LinkedIn, referidos. Los del bot NO se duplican aquí — allá tienen sus comentarios.</t>
        </is>
      </c>
    </row>
    <row r="2">
      <c r="A2" s="1" t="inlineStr">
        <is>
          <t>Las columnas con LISTA: haz clic EN la celda y aparece la flechita. En Vista protegida: HABILITAR EDICION primero.</t>
        </is>
      </c>
    </row>
    <row r="3">
      <c r="A3" s="2" t="inlineStr">
        <is>
          <t>Fecha</t>
        </is>
      </c>
      <c r="B3" s="2" t="inlineStr">
        <is>
          <t>Canal (COLEGIO / EMPRESA / GRUPO FB / LINKEDIN / REFERIDO)</t>
        </is>
      </c>
      <c r="C3" s="2" t="inlineStr">
        <is>
          <t>Detalle del origen (qué colegio / empresa / grupo / quién refirió)</t>
        </is>
      </c>
      <c r="D3" s="2" t="inlineStr">
        <is>
          <t>Nombre y APELLIDO</t>
        </is>
      </c>
      <c r="E3" s="2" t="inlineStr">
        <is>
          <t>Teléfono</t>
        </is>
      </c>
      <c r="F3" s="2" t="inlineStr">
        <is>
          <t>Convenio (Cajasan / Empresa / Colegio / No)</t>
        </is>
      </c>
      <c r="G3" s="2" t="inlineStr">
        <is>
          <t>Toque 1 (fecha + resultado)</t>
        </is>
      </c>
      <c r="H3" s="2" t="inlineStr">
        <is>
          <t>Toque 2</t>
        </is>
      </c>
      <c r="I3" s="2" t="inlineStr">
        <is>
          <t>Toque 3</t>
        </is>
      </c>
      <c r="J3" s="2" t="inlineStr">
        <is>
          <t>Estado (CITA / OFERTA / NO+motivo)</t>
        </is>
      </c>
      <c r="K3" s="2" t="inlineStr">
        <is>
          <t>Próximo paso (con fecha)</t>
        </is>
      </c>
    </row>
    <row r="4">
      <c r="A4" s="3" t="inlineStr">
        <is>
          <t>17/09</t>
        </is>
      </c>
      <c r="B4" s="3" t="inlineStr">
        <is>
          <t>COLEGIO</t>
        </is>
      </c>
      <c r="C4" s="3" t="inlineStr">
        <is>
          <t>Taller padres Colegio San José — hijo en 10°</t>
        </is>
      </c>
      <c r="D4" s="3" t="inlineStr">
        <is>
          <t>Braulio Pérez</t>
        </is>
      </c>
      <c r="E4" s="3" t="inlineStr">
        <is>
          <t>301 234 5678</t>
        </is>
      </c>
      <c r="F4" s="3" t="inlineStr">
        <is>
          <t>Colegio</t>
        </is>
      </c>
      <c r="G4" s="3" t="inlineStr">
        <is>
          <t>17/09 gracias enviado</t>
        </is>
      </c>
      <c r="H4" s="3" t="inlineStr">
        <is>
          <t>18/09 llamada: pide info sabatino</t>
        </is>
      </c>
      <c r="I4" s="3" t="inlineStr"/>
      <c r="J4" s="3" t="inlineStr">
        <is>
          <t>CITA</t>
        </is>
      </c>
      <c r="K4" s="3" t="inlineStr">
        <is>
          <t>Cita sáb 20/09 10am</t>
        </is>
      </c>
    </row>
  </sheetData>
  <dataValidations count="3">
    <dataValidation sqref="B4:B500" showDropDown="0" showInputMessage="0" showErrorMessage="1" allowBlank="1" error="Elige una opción de la lista" type="list">
      <formula1>"COLEGIO,EMPRESA,GRUPO FB,LINKEDIN,REFERIDO,OPERADOR"</formula1>
    </dataValidation>
    <dataValidation sqref="F4:F500" showDropDown="0" showInputMessage="0" showErrorMessage="1" allowBlank="1" error="Elige una opción de la lista" type="list">
      <formula1>"Cajasan,Empresa,Colegio,No"</formula1>
    </dataValidation>
    <dataValidation sqref="J4:J500" showDropDown="0" showInputMessage="0" showErrorMessage="1" allowBlank="1" error="Elige una opción de la lista" type="list">
      <formula1>"EN SEGUIMIENTO,CITA AGENDADA,OFERTA EMITIDA,MATRICULADO,NO - motivo anotado,NO CONTACTAR (reclamo)"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40" customHeight="1">
      <c r="A1" s="7" t="inlineStr">
        <is>
          <t>Los tres contadores de arriba se calculan SOLOS desde el REGISTRO MAESTRO y la hoja de OFERTAS: no se tocan. La tabla semanal se llena los sábados en la columna de esa semana. Qué se le DICE al cliente según el contador: DUDA #4.</t>
        </is>
      </c>
    </row>
    <row r="3">
      <c r="A3" s="11" t="inlineStr">
        <is>
          <t>CUPOS ARRANQUE VENDIDOS (de 20)</t>
        </is>
      </c>
      <c r="B3" s="12">
        <f>COUNTIF('REGISTRO MAESTRO'!I4:I500,"MATRICULADO")</f>
        <v/>
      </c>
    </row>
    <row r="4">
      <c r="A4" s="11" t="inlineStr">
        <is>
          <t>Abonos de separación vigentes</t>
        </is>
      </c>
      <c r="B4" s="12">
        <f>COUNTIF('REGISTRO MAESTRO'!I4:I500,"ABONO")</f>
        <v/>
      </c>
    </row>
    <row r="5">
      <c r="A5" s="11" t="inlineStr">
        <is>
          <t>Ofertas vivas (sin vencer)</t>
        </is>
      </c>
      <c r="B5" s="12">
        <f>COUNTIF('REGISTRO MAESTRO'!I4:I500,"OFERTA VIGENTE")</f>
        <v/>
      </c>
    </row>
    <row r="7">
      <c r="A7" s="13" t="inlineStr">
        <is>
          <t>SEMANA (lunes a sábado)</t>
        </is>
      </c>
      <c r="B7" s="13" t="inlineStr">
        <is>
          <t>META</t>
        </is>
      </c>
      <c r="C7" s="13" t="inlineStr">
        <is>
          <t>22-27 sep</t>
        </is>
      </c>
      <c r="D7" s="13" t="inlineStr">
        <is>
          <t>28 sep-3 oct</t>
        </is>
      </c>
      <c r="E7" s="13" t="inlineStr">
        <is>
          <t>5-10 oct</t>
        </is>
      </c>
      <c r="F7" s="13" t="inlineStr">
        <is>
          <t>12-17 oct</t>
        </is>
      </c>
      <c r="G7" s="13" t="inlineStr">
        <is>
          <t>19-24 oct</t>
        </is>
      </c>
      <c r="H7" s="13" t="inlineStr">
        <is>
          <t>26-31 oct</t>
        </is>
      </c>
      <c r="I7" s="13" t="inlineStr">
        <is>
          <t>2-7 nov</t>
        </is>
      </c>
      <c r="J7" s="13" t="inlineStr">
        <is>
          <t>9-14 nov</t>
        </is>
      </c>
    </row>
    <row r="8">
      <c r="A8" s="11" t="inlineStr">
        <is>
          <t>Contactos salientes</t>
        </is>
      </c>
      <c r="B8" s="14" t="n">
        <v>200</v>
      </c>
    </row>
    <row r="9">
      <c r="A9" s="11" t="inlineStr">
        <is>
          <t>Citas agendadas</t>
        </is>
      </c>
      <c r="B9" s="14" t="n">
        <v>25</v>
      </c>
    </row>
    <row r="10">
      <c r="A10" s="11" t="inlineStr">
        <is>
          <t>Citas asistidas</t>
        </is>
      </c>
      <c r="B10" s="14" t="n">
        <v>12</v>
      </c>
    </row>
    <row r="11">
      <c r="A11" s="11" t="inlineStr">
        <is>
          <t>Matrículas + abonos</t>
        </is>
      </c>
      <c r="B11" s="14" t="inlineStr">
        <is>
          <t>4-5</t>
        </is>
      </c>
    </row>
    <row r="12">
      <c r="A12" s="11" t="inlineStr">
        <is>
          <t>Caja de la semana ($)</t>
        </is>
      </c>
      <c r="B12" s="14" t="inlineStr"/>
    </row>
    <row r="14" ht="45" customHeight="1">
      <c r="A14" s="15" t="inlineStr">
        <is>
          <t>Cómo se lee: cada sábado se compara la columna de la semana con la META. Si dos semanas seguidas las citas agendadas van por debajo de la mitad de la meta, el problema es de contactos (subir volumen); si las citas se agendan pero no asisten, el problema es de confirmación (llamar el día anterior).</t>
        </is>
      </c>
    </row>
  </sheetData>
  <mergeCells count="2">
    <mergeCell ref="A1:J1"/>
    <mergeCell ref="A14:J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2026-09-14T20:28:27Z</dcterms:created>
  <dcterms:modified xmlns:dcterms="http://purl.org/dc/terms/" xmlns:xsi="http://www.w3.org/2001/XMLSchema-instance" xsi:type="dcterms:W3CDTF">2026-09-22T21:17:00Z</dcterms:modified>
</cp:coreProperties>
</file>