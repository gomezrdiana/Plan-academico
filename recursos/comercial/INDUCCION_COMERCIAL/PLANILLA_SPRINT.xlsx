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RO MAESTRO" sheetId="1" state="visible" r:id="rId1"/>
    <sheet xmlns:r="http://schemas.openxmlformats.org/officeDocument/2006/relationships" name="TERMÓMETRO"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C00000"/>
      <sz val="10"/>
    </font>
    <font>
      <b val="1"/>
      <color rgb="00FFFFFF"/>
      <sz val="11"/>
    </font>
    <font>
      <sz val="11"/>
    </font>
    <font>
      <b val="1"/>
      <sz val="11"/>
    </font>
    <font>
      <b val="1"/>
      <sz val="10"/>
    </font>
    <font>
      <sz val="10"/>
    </font>
    <font>
      <b val="1"/>
      <color rgb="00FFFFFF"/>
    </font>
    <font>
      <i val="1"/>
      <color rgb="00777777"/>
    </font>
    <font>
      <b val="1"/>
    </font>
    <font>
      <b val="1"/>
      <sz val="12"/>
    </font>
  </fonts>
  <fills count="4">
    <fill>
      <patternFill/>
    </fill>
    <fill>
      <patternFill patternType="gray125"/>
    </fill>
    <fill>
      <patternFill patternType="solid">
        <fgColor rgb="00E54C09"/>
      </patternFill>
    </fill>
    <fill>
      <patternFill patternType="solid">
        <fgColor rgb="00FFF8E7"/>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0" borderId="0" pivotButton="0" quotePrefix="0" xfId="0"/>
    <xf numFmtId="0" fontId="2" fillId="2" borderId="1" pivotButton="0" quotePrefix="0" xfId="0"/>
    <xf numFmtId="0" fontId="3" fillId="3" borderId="1" pivotButton="0" quotePrefix="0" xfId="0"/>
    <xf numFmtId="0" fontId="4" fillId="3" borderId="1" pivotButton="0" quotePrefix="0" xfId="0"/>
    <xf numFmtId="0" fontId="0" fillId="0" borderId="1" pivotButton="0" quotePrefix="0" xfId="0"/>
    <xf numFmtId="0" fontId="3" fillId="0" borderId="1"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wrapText="1"/>
    </xf>
    <xf numFmtId="0" fontId="8" fillId="0" borderId="0" pivotButton="0" quotePrefix="0" xfId="0"/>
    <xf numFmtId="0" fontId="9" fillId="3" borderId="0" pivotButton="0" quotePrefix="0" xfId="0"/>
    <xf numFmtId="0" fontId="10" fillId="0" borderId="0" pivotButton="0" quotePrefix="0" xfId="0"/>
    <xf numFmtId="0" fontId="7" fillId="2"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workbookViewId="0">
      <pane ySplit="3" topLeftCell="A4" activePane="bottomLeft" state="frozen"/>
      <selection pane="bottomLeft" activeCell="A1" sqref="A1"/>
    </sheetView>
  </sheetViews>
  <sheetFormatPr baseColWidth="8" defaultRowHeight="15"/>
  <cols>
    <col width="14" customWidth="1" min="1" max="1"/>
    <col width="24" customWidth="1" min="2" max="2"/>
    <col width="14" customWidth="1" min="3" max="3"/>
    <col width="18" customWidth="1" min="4" max="4"/>
    <col width="30" customWidth="1" min="5" max="5"/>
    <col width="12" customWidth="1" min="6" max="6"/>
    <col width="16" customWidth="1" min="7" max="7"/>
    <col width="16" customWidth="1" min="8" max="8"/>
    <col width="18" customWidth="1" min="9" max="9"/>
    <col width="26" customWidth="1" min="10" max="10"/>
    <col width="34" customWidth="1" min="11" max="11"/>
    <col width="14" customWidth="1" min="12" max="12"/>
    <col width="16" customWidth="1" min="13" max="13"/>
    <col width="12" customWidth="1" min="14" max="14"/>
    <col width="34" customWidth="1" min="15" max="15"/>
  </cols>
  <sheetData>
    <row r="1" ht="55" customHeight="1">
      <c r="A1" s="7" t="inlineStr">
        <is>
          <t>TODO contacto entra AQUÍ desde el primer mensaje o llamada, venga del bot, de la línea de Paula, de gerencia, de un colegio, una empresa o un referido. Esta hoja define de quién es cada cliente y liquida las comisiones: lo que no está aquí, no existe. Si dos vendedores tocan al mismo cliente, es de quien lo registró primero. Rutina diaria: filtrar la columna "próximo paso" por HOY y llamar; la fecha de vencimiento SE CUMPLE.</t>
        </is>
      </c>
    </row>
    <row r="2" ht="28" customHeight="1">
      <c r="A2" s="8" t="inlineStr">
        <is>
          <t>Las columnas con LISTA: haz clic EN la celda y aparece la flechita. Si el archivo se abre en Vista protegida (franja amarilla), dale HABILITAR EDICIÓN.</t>
        </is>
      </c>
    </row>
    <row r="3" ht="32" customHeight="1">
      <c r="A3" s="9" t="inlineStr">
        <is>
          <t>Fecha 1er contacto</t>
        </is>
      </c>
      <c r="B3" s="9" t="inlineStr">
        <is>
          <t>Nombre y APELLIDO</t>
        </is>
      </c>
      <c r="C3" s="9" t="inlineStr">
        <is>
          <t>Teléfono</t>
        </is>
      </c>
      <c r="D3" s="9" t="inlineStr">
        <is>
          <t>Canal de llegada</t>
        </is>
      </c>
      <c r="E3" s="9" t="inlineStr">
        <is>
          <t>Detalle del origen (qué colegio / empresa / grupo / quién refirió / si es OTRO, cuál)</t>
        </is>
      </c>
      <c r="F3" s="9" t="inlineStr">
        <is>
          <t>Quién lo atiende</t>
        </is>
      </c>
      <c r="G3" s="9" t="inlineStr">
        <is>
          <t>Cajasan (S/N)</t>
        </is>
      </c>
      <c r="H3" s="9" t="inlineStr">
        <is>
          <t>EF SET (puntaje / nivel)</t>
        </is>
      </c>
      <c r="I3" s="9" t="inlineStr">
        <is>
          <t>Cita (fecha + hora)</t>
        </is>
      </c>
      <c r="J3" s="9" t="inlineStr">
        <is>
          <t>Estado</t>
        </is>
      </c>
      <c r="K3" s="9" t="inlineStr">
        <is>
          <t>Qué se ofreció ($ y programa) + VENCE (fecha 6 PM)</t>
        </is>
      </c>
      <c r="L3" s="9" t="inlineStr">
        <is>
          <t>Abono $300k (fecha)</t>
        </is>
      </c>
      <c r="M3" s="9" t="inlineStr">
        <is>
          <t>Matrícula (fecha)</t>
        </is>
      </c>
      <c r="N3" s="9" t="inlineStr">
        <is>
          <t>Recaudo a caja ($)</t>
        </is>
      </c>
      <c r="O3" s="9" t="inlineStr">
        <is>
          <t>Comisión (%)</t>
        </is>
      </c>
      <c r="P3" s="9" t="inlineStr">
        <is>
          <t>Motivo real / próximo paso (con fecha)</t>
        </is>
      </c>
    </row>
    <row r="4">
      <c r="A4" s="10" t="inlineStr">
        <is>
          <t>22/09</t>
        </is>
      </c>
      <c r="B4" s="10" t="inlineStr">
        <is>
          <t>Andrea Flórez</t>
        </is>
      </c>
      <c r="C4" s="10" t="inlineStr">
        <is>
          <t>300 000 0000</t>
        </is>
      </c>
      <c r="D4" s="10" t="inlineStr">
        <is>
          <t>GERENCIA</t>
        </is>
      </c>
      <c r="E4" s="10" t="inlineStr">
        <is>
          <t>(vacío: llegó por lead pago)</t>
        </is>
      </c>
      <c r="F4" s="10" t="inlineStr">
        <is>
          <t>PAULA</t>
        </is>
      </c>
      <c r="G4" s="10" t="inlineStr">
        <is>
          <t>N</t>
        </is>
      </c>
      <c r="H4" s="10" t="inlineStr">
        <is>
          <t>48 / A2</t>
        </is>
      </c>
      <c r="I4" s="10" t="inlineStr">
        <is>
          <t>24/09 7pm</t>
        </is>
      </c>
      <c r="J4" s="10" t="inlineStr">
        <is>
          <t>CITA AGENDADA</t>
        </is>
      </c>
      <c r="K4" s="10" t="inlineStr">
        <is>
          <t>Arranque $2.990.000 · vence 25/09 6PM</t>
        </is>
      </c>
      <c r="L4" s="10" t="inlineStr"/>
      <c r="M4" s="10" t="inlineStr"/>
      <c r="N4" s="10" t="inlineStr"/>
      <c r="O4" s="10" t="inlineStr">
        <is>
          <t>5</t>
        </is>
      </c>
      <c r="P4" s="10" t="inlineStr">
        <is>
          <t>Tibio de la casa asignado a Paula el 22/09; contado en octubre</t>
        </is>
      </c>
    </row>
  </sheetData>
  <mergeCells count="4">
    <mergeCell ref="A1:O1"/>
    <mergeCell ref="A1:P1"/>
    <mergeCell ref="A2:O2"/>
    <mergeCell ref="A2:P2"/>
  </mergeCells>
  <dataValidations count="5">
    <dataValidation sqref="D4:D500" showDropDown="0" showInputMessage="0" showErrorMessage="0" allowBlank="1" type="list">
      <formula1>"LÍNEA PAULA,LOUI (bot),GERENCIA,REFERIDO,COLEGIO,EMPRESA,GRUPO FB,LINKEDIN,OTRO"</formula1>
    </dataValidation>
    <dataValidation sqref="F4:F500" showDropDown="0" showInputMessage="0" showErrorMessage="0" allowBlank="1" type="list">
      <formula1>"PAULA,GERENCIA,MARÍA EUGENIA,ASESORA SEDE"</formula1>
    </dataValidation>
    <dataValidation sqref="G4:G500" showDropDown="0" showInputMessage="0" showErrorMessage="0" allowBlank="1" type="list">
      <formula1>"S,N"</formula1>
    </dataValidation>
    <dataValidation sqref="J4:J500" showDropDown="0" showInputMessage="0" showErrorMessage="0" allowBlank="1" type="list">
      <formula1>"CONTACTADO,CITA AGENDADA,OFERTA VIGENTE,ABONO,MATRICULADO,VENCIÓ,NO + motivo"</formula1>
    </dataValidation>
    <dataValidation sqref="O4:O500" showDropDown="0" showInputMessage="0" showErrorMessage="0" allowBlank="1" type="list">
      <formula1>"8,10,5,2.5,1,0"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40" customHeight="1">
      <c r="A1" s="7" t="inlineStr">
        <is>
          <t>Los tres contadores de arriba se calculan SOLOS desde el REGISTRO MAESTRO y la hoja de OFERTAS: no se tocan. La tabla semanal se llena los sábados en la columna de esa semana. Qué se le DICE al cliente según el contador: DUDA #4.</t>
        </is>
      </c>
    </row>
    <row r="3">
      <c r="A3" s="11" t="inlineStr">
        <is>
          <t>CUPOS ARRANQUE VENDIDOS (de 20)</t>
        </is>
      </c>
      <c r="B3" s="12">
        <f>COUNTIF('REGISTRO MAESTRO'!J4:J500,"MATRICULADO")</f>
        <v/>
      </c>
    </row>
    <row r="4">
      <c r="A4" s="11" t="inlineStr">
        <is>
          <t>Abonos de separación vigentes</t>
        </is>
      </c>
      <c r="B4" s="12">
        <f>COUNTIF('REGISTRO MAESTRO'!J4:J500,"ABONO")</f>
        <v/>
      </c>
    </row>
    <row r="5">
      <c r="A5" s="11" t="inlineStr">
        <is>
          <t>Ofertas vivas (sin vencer)</t>
        </is>
      </c>
      <c r="B5" s="12">
        <f>COUNTIF('REGISTRO MAESTRO'!J4:J500,"OFERTA VIGENTE")</f>
        <v/>
      </c>
    </row>
    <row r="7">
      <c r="A7" s="13" t="inlineStr">
        <is>
          <t>SEMANA (lunes a sábado)</t>
        </is>
      </c>
      <c r="B7" s="13" t="inlineStr">
        <is>
          <t>META</t>
        </is>
      </c>
      <c r="C7" s="13" t="inlineStr">
        <is>
          <t>22-27 sep</t>
        </is>
      </c>
      <c r="D7" s="13" t="inlineStr">
        <is>
          <t>28 sep-3 oct</t>
        </is>
      </c>
      <c r="E7" s="13" t="inlineStr">
        <is>
          <t>5-10 oct</t>
        </is>
      </c>
      <c r="F7" s="13" t="inlineStr">
        <is>
          <t>12-17 oct</t>
        </is>
      </c>
      <c r="G7" s="13" t="inlineStr">
        <is>
          <t>19-24 oct</t>
        </is>
      </c>
      <c r="H7" s="13" t="inlineStr">
        <is>
          <t>26-31 oct</t>
        </is>
      </c>
      <c r="I7" s="13" t="inlineStr">
        <is>
          <t>2-7 nov</t>
        </is>
      </c>
      <c r="J7" s="13" t="inlineStr">
        <is>
          <t>9-14 nov</t>
        </is>
      </c>
    </row>
    <row r="8">
      <c r="A8" s="11" t="inlineStr">
        <is>
          <t>Contactos salientes</t>
        </is>
      </c>
      <c r="B8" s="14" t="n">
        <v>200</v>
      </c>
    </row>
    <row r="9">
      <c r="A9" s="11" t="inlineStr">
        <is>
          <t>Citas agendadas</t>
        </is>
      </c>
      <c r="B9" s="14" t="n">
        <v>25</v>
      </c>
    </row>
    <row r="10">
      <c r="A10" s="11" t="inlineStr">
        <is>
          <t>Citas asistidas</t>
        </is>
      </c>
      <c r="B10" s="14" t="n">
        <v>12</v>
      </c>
    </row>
    <row r="11">
      <c r="A11" s="11" t="inlineStr">
        <is>
          <t>Matrículas + abonos</t>
        </is>
      </c>
      <c r="B11" s="14" t="inlineStr">
        <is>
          <t>4-5</t>
        </is>
      </c>
    </row>
    <row r="12">
      <c r="A12" s="11" t="inlineStr">
        <is>
          <t>Caja de la semana ($)</t>
        </is>
      </c>
      <c r="B12" s="14" t="inlineStr"/>
    </row>
    <row r="14" ht="45" customHeight="1">
      <c r="A14" s="15" t="inlineStr">
        <is>
          <t>Cómo se lee: cada sábado se compara la columna de la semana con la META. Si dos semanas seguidas las citas agendadas van por debajo de la mitad de la meta, el problema es de contactos (subir volumen); si las citas se agendan pero no asisten, el problema es de confirmación (llamar el día anterior).</t>
        </is>
      </c>
    </row>
  </sheetData>
  <mergeCells count="2">
    <mergeCell ref="A1:J1"/>
    <mergeCell ref="A14:J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2026-09-14T20:28:27Z</dcterms:created>
  <dcterms:modified xmlns:dcterms="http://purl.org/dc/terms/" xmlns:xsi="http://www.w3.org/2001/XMLSchema-instance" xsi:type="dcterms:W3CDTF">2026-09-22T21:23:14Z</dcterms:modified>
</cp:coreProperties>
</file>