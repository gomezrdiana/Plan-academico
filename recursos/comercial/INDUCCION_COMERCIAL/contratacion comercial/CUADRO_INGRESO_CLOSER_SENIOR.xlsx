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GRESO" sheetId="1" state="visible" r:id="rId1"/>
    <sheet xmlns:r="http://schemas.openxmlformats.org/officeDocument/2006/relationships" name="REGLAS DE CONTEO" sheetId="2" state="visible" r:id="rId2"/>
    <sheet xmlns:r="http://schemas.openxmlformats.org/officeDocument/2006/relationships" name="TABLERO SEMAN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7">
    <font>
      <name val="Calibri"/>
      <family val="2"/>
      <color theme="1"/>
      <sz val="11"/>
      <scheme val="minor"/>
    </font>
    <font>
      <b val="1"/>
      <color rgb="00E54C09"/>
      <sz val="13"/>
    </font>
    <font>
      <b val="1"/>
      <color rgb="00E54C09"/>
      <sz val="12"/>
    </font>
    <font>
      <b val="1"/>
      <color rgb="00FFFFFF"/>
    </font>
    <font>
      <b val="1"/>
    </font>
    <font>
      <b val="1"/>
      <color rgb="00E54C09"/>
    </font>
    <font>
      <i val="1"/>
    </font>
  </fonts>
  <fills count="5">
    <fill>
      <patternFill/>
    </fill>
    <fill>
      <patternFill patternType="gray125"/>
    </fill>
    <fill>
      <patternFill patternType="solid">
        <fgColor rgb="00E54C09"/>
      </patternFill>
    </fill>
    <fill>
      <patternFill patternType="solid">
        <fgColor rgb="00EEEEEE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164" fontId="0" fillId="3" borderId="1" pivotButton="0" quotePrefix="0" xfId="0"/>
    <xf numFmtId="164" fontId="0" fillId="0" borderId="1" pivotButton="0" quotePrefix="0" xfId="0"/>
    <xf numFmtId="164" fontId="4" fillId="4" borderId="1" pivotButton="0" quotePrefix="0" xfId="0"/>
    <xf numFmtId="0" fontId="3" fillId="2" borderId="1" applyAlignment="1" pivotButton="0" quotePrefix="0" xfId="0">
      <alignment horizontal="center" wrapText="1"/>
    </xf>
    <xf numFmtId="164" fontId="4" fillId="0" borderId="1" pivotButton="0" quotePrefix="0" xfId="0"/>
    <xf numFmtId="0" fontId="5" fillId="0" borderId="0" pivotButton="0" quotePrefix="0" xfId="0"/>
    <xf numFmtId="0" fontId="3" fillId="2" borderId="1" pivotButton="0" quotePrefix="0" xfId="0"/>
    <xf numFmtId="0" fontId="0" fillId="0" borderId="1" applyAlignment="1" pivotButton="0" quotePrefix="0" xfId="0">
      <alignment vertical="top" wrapText="1"/>
    </xf>
    <xf numFmtId="0" fontId="6" fillId="0" borderId="0" pivotButton="0" quotePrefix="0" xfId="0"/>
    <xf numFmtId="165" fontId="0" fillId="0" borderId="1" pivotButton="0" quotePrefix="0" xfId="0"/>
    <xf numFmtId="9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2"/>
  <sheetViews>
    <sheetView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4" customWidth="1" min="3" max="3"/>
    <col width="16" customWidth="1" min="4" max="4"/>
    <col width="14" customWidth="1" min="5" max="5"/>
    <col width="13" customWidth="1" min="6" max="6"/>
    <col width="11" customWidth="1" min="7" max="7"/>
    <col width="16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>
      <c r="A1" s="1" t="inlineStr">
        <is>
          <t>CLOSER SENIOR — MODELO ABSORBIBLE: CUÁNTO GANA SEGÚN LO QUE CIERRE · decisión 08/10/2026</t>
        </is>
      </c>
    </row>
    <row r="2" ht="80" customHeight="1">
      <c r="A2" s="2" t="inlineStr">
        <is>
          <t>SIN BÁSICO. Meses 1 a 3: PISO (absorbible) de $3,500,000 si cumple los mínimos (3, 4 y 6 contratos con inicial pagada) y 5 citas atendidas por semana; si sus comisiones superan el piso, se pagan las comisiones y el piso se absorbe. Desde el mes 4: solo comisión. Comisión: 12% del RECAUDO hasta la meta del mes (= $358,800 por matrícula de $2,990,000 pagada completa) y 15% por encima de la meta (= $448,500); 6% cliente antiguo. Meta en CONTRATOS firmados con inicial pagada: 6 · 8 · 8 · 10 · 10 · 10 · 12. A cuotas, la comisión entra mes a mes mientras el cliente paga (cartera). La celda sombreada es la meta.</t>
        </is>
      </c>
    </row>
    <row r="4">
      <c r="A4" s="3" t="inlineStr">
        <is>
          <t>CUADRO 1 — INGRESO DEL MES SEGÚN CONTRATOS CERRADOS (si todos pagan de contado)</t>
        </is>
      </c>
    </row>
    <row r="5">
      <c r="A5" s="4" t="inlineStr">
        <is>
          <t>Mes</t>
        </is>
      </c>
      <c r="B5" s="4" t="inlineStr">
        <is>
          <t>Meta</t>
        </is>
      </c>
      <c r="C5" s="4" t="inlineStr">
        <is>
          <t>Mínimo p/ piso</t>
        </is>
      </c>
      <c r="D5" s="4" t="inlineStr">
        <is>
          <t>Cierra 0</t>
        </is>
      </c>
      <c r="E5" s="4" t="inlineStr">
        <is>
          <t>Cierra 2</t>
        </is>
      </c>
      <c r="F5" s="4" t="inlineStr">
        <is>
          <t>Cierra 3</t>
        </is>
      </c>
      <c r="G5" s="4" t="inlineStr">
        <is>
          <t>Cierra 4</t>
        </is>
      </c>
      <c r="H5" s="4" t="inlineStr">
        <is>
          <t>Cierra 5</t>
        </is>
      </c>
      <c r="I5" s="4" t="inlineStr">
        <is>
          <t>Cierra 6</t>
        </is>
      </c>
      <c r="J5" s="4" t="inlineStr">
        <is>
          <t>Cierra 8</t>
        </is>
      </c>
      <c r="K5" s="4" t="inlineStr">
        <is>
          <t>Cierra 10</t>
        </is>
      </c>
      <c r="L5" s="4" t="inlineStr">
        <is>
          <t>Cierra 12</t>
        </is>
      </c>
      <c r="M5" s="4" t="inlineStr">
        <is>
          <t>Cierra 14</t>
        </is>
      </c>
      <c r="N5" s="4" t="inlineStr">
        <is>
          <t>Cierra 15</t>
        </is>
      </c>
      <c r="O5" s="4" t="inlineStr">
        <is>
          <t>Cierra 18</t>
        </is>
      </c>
      <c r="P5" s="4" t="inlineStr">
        <is>
          <t>Cierra 20</t>
        </is>
      </c>
    </row>
    <row r="6">
      <c r="A6" s="5" t="inlineStr">
        <is>
          <t>Mes 1</t>
        </is>
      </c>
      <c r="B6" s="5" t="n">
        <v>6</v>
      </c>
      <c r="C6" s="5" t="n">
        <v>3</v>
      </c>
      <c r="D6" s="6" t="n">
        <v>0</v>
      </c>
      <c r="E6" s="6" t="n">
        <v>717600</v>
      </c>
      <c r="F6" s="7" t="n">
        <v>3500000</v>
      </c>
      <c r="G6" s="7" t="n">
        <v>3500000</v>
      </c>
      <c r="H6" s="7" t="n">
        <v>3500000</v>
      </c>
      <c r="I6" s="8" t="n">
        <v>3500000</v>
      </c>
      <c r="J6" s="7" t="n">
        <v>3500000</v>
      </c>
      <c r="K6" s="7" t="n">
        <v>3946800</v>
      </c>
      <c r="L6" s="7" t="n">
        <v>4843800</v>
      </c>
      <c r="M6" s="7" t="n">
        <v>5740800</v>
      </c>
      <c r="N6" s="7" t="n">
        <v>6189300</v>
      </c>
      <c r="O6" s="7" t="n">
        <v>7534800</v>
      </c>
      <c r="P6" s="7" t="n">
        <v>8431800</v>
      </c>
    </row>
    <row r="7">
      <c r="A7" s="5" t="inlineStr">
        <is>
          <t>Mes 2</t>
        </is>
      </c>
      <c r="B7" s="5" t="n">
        <v>8</v>
      </c>
      <c r="C7" s="5" t="n">
        <v>4</v>
      </c>
      <c r="D7" s="6" t="n">
        <v>0</v>
      </c>
      <c r="E7" s="6" t="n">
        <v>717600</v>
      </c>
      <c r="F7" s="6" t="n">
        <v>1076400</v>
      </c>
      <c r="G7" s="7" t="n">
        <v>3500000</v>
      </c>
      <c r="H7" s="7" t="n">
        <v>3500000</v>
      </c>
      <c r="I7" s="7" t="n">
        <v>3500000</v>
      </c>
      <c r="J7" s="8" t="n">
        <v>3500000</v>
      </c>
      <c r="K7" s="7" t="n">
        <v>3767400</v>
      </c>
      <c r="L7" s="7" t="n">
        <v>4664400</v>
      </c>
      <c r="M7" s="7" t="n">
        <v>5561400</v>
      </c>
      <c r="N7" s="7" t="n">
        <v>6009900</v>
      </c>
      <c r="O7" s="7" t="n">
        <v>7355400</v>
      </c>
      <c r="P7" s="7" t="n">
        <v>8252400</v>
      </c>
    </row>
    <row r="8">
      <c r="A8" s="5" t="inlineStr">
        <is>
          <t>Mes 3</t>
        </is>
      </c>
      <c r="B8" s="5" t="n">
        <v>8</v>
      </c>
      <c r="C8" s="5" t="n">
        <v>6</v>
      </c>
      <c r="D8" s="6" t="n">
        <v>0</v>
      </c>
      <c r="E8" s="6" t="n">
        <v>717600</v>
      </c>
      <c r="F8" s="6" t="n">
        <v>1076400</v>
      </c>
      <c r="G8" s="6" t="n">
        <v>1435200</v>
      </c>
      <c r="H8" s="6" t="n">
        <v>1794000</v>
      </c>
      <c r="I8" s="7" t="n">
        <v>3500000</v>
      </c>
      <c r="J8" s="8" t="n">
        <v>3500000</v>
      </c>
      <c r="K8" s="7" t="n">
        <v>3767400</v>
      </c>
      <c r="L8" s="7" t="n">
        <v>4664400</v>
      </c>
      <c r="M8" s="7" t="n">
        <v>5561400</v>
      </c>
      <c r="N8" s="7" t="n">
        <v>6009900</v>
      </c>
      <c r="O8" s="7" t="n">
        <v>7355400</v>
      </c>
      <c r="P8" s="7" t="n">
        <v>8252400</v>
      </c>
    </row>
    <row r="9">
      <c r="A9" s="5" t="inlineStr">
        <is>
          <t>Meses 4-6</t>
        </is>
      </c>
      <c r="B9" s="5" t="n">
        <v>10</v>
      </c>
      <c r="C9" s="5" t="inlineStr">
        <is>
          <t>—</t>
        </is>
      </c>
      <c r="D9" s="7" t="n">
        <v>0</v>
      </c>
      <c r="E9" s="7" t="n">
        <v>717600</v>
      </c>
      <c r="F9" s="7" t="n">
        <v>1076400</v>
      </c>
      <c r="G9" s="7" t="n">
        <v>1435200</v>
      </c>
      <c r="H9" s="7" t="n">
        <v>1794000</v>
      </c>
      <c r="I9" s="7" t="n">
        <v>2152800</v>
      </c>
      <c r="J9" s="7" t="n">
        <v>2870400</v>
      </c>
      <c r="K9" s="8" t="n">
        <v>3588000</v>
      </c>
      <c r="L9" s="7" t="n">
        <v>4485000</v>
      </c>
      <c r="M9" s="7" t="n">
        <v>5382000</v>
      </c>
      <c r="N9" s="7" t="n">
        <v>5830500</v>
      </c>
      <c r="O9" s="7" t="n">
        <v>7176000</v>
      </c>
      <c r="P9" s="7" t="n">
        <v>8073000</v>
      </c>
    </row>
    <row r="10">
      <c r="A10" s="5" t="inlineStr">
        <is>
          <t>Meses 7-12</t>
        </is>
      </c>
      <c r="B10" s="5" t="n">
        <v>12</v>
      </c>
      <c r="C10" s="5" t="inlineStr">
        <is>
          <t>—</t>
        </is>
      </c>
      <c r="D10" s="7" t="n">
        <v>0</v>
      </c>
      <c r="E10" s="7" t="n">
        <v>717600</v>
      </c>
      <c r="F10" s="7" t="n">
        <v>1076400</v>
      </c>
      <c r="G10" s="7" t="n">
        <v>1435200</v>
      </c>
      <c r="H10" s="7" t="n">
        <v>1794000</v>
      </c>
      <c r="I10" s="7" t="n">
        <v>2152800</v>
      </c>
      <c r="J10" s="7" t="n">
        <v>2870400</v>
      </c>
      <c r="K10" s="7" t="n">
        <v>3588000</v>
      </c>
      <c r="L10" s="8" t="n">
        <v>4305600</v>
      </c>
      <c r="M10" s="7" t="n">
        <v>5202600</v>
      </c>
      <c r="N10" s="7" t="n">
        <v>5651100</v>
      </c>
      <c r="O10" s="7" t="n">
        <v>6996600</v>
      </c>
      <c r="P10" s="7" t="n">
        <v>7893600</v>
      </c>
    </row>
    <row r="11" ht="32" customHeight="1">
      <c r="A11" s="2" t="inlineStr">
        <is>
          <t>Gris: por debajo del mínimo, no hay piso (solo comisión). Ejemplo mes 1 con 5 contratos: comisión 5 x $358.800 = $1.794.000 &lt; piso → recibe $3.500.000. Mes 1 con 12: 6 x $358.800 + 6 x $448.500 = $4.843.800 → recibe eso (el piso se absorbe). Mes 5 con 5: $1.794.000, sin piso.</t>
        </is>
      </c>
    </row>
    <row r="13">
      <c r="A13" s="3" t="inlineStr">
        <is>
          <t>CUADRO 2 — PARA GANAR X, CUÁNTOS CONTRATOS NECESITA (de contado)</t>
        </is>
      </c>
    </row>
    <row r="14" ht="32" customHeight="1">
      <c r="A14" s="9" t="inlineStr">
        <is>
          <t>Quiere ganar</t>
        </is>
      </c>
      <c r="B14" s="9" t="inlineStr">
        <is>
          <t>Meses 1-3 (piso $3.5M)</t>
        </is>
      </c>
      <c r="C14" s="9" t="inlineStr">
        <is>
          <t>Meses 4-6 (meta 10)</t>
        </is>
      </c>
      <c r="D14" s="9" t="inlineStr">
        <is>
          <t>Desde el mes 7 (meta 12)</t>
        </is>
      </c>
    </row>
    <row r="15">
      <c r="A15" s="10" t="n">
        <v>3500000</v>
      </c>
      <c r="B15" s="5" t="n">
        <v>6</v>
      </c>
      <c r="C15" s="5" t="n">
        <v>10</v>
      </c>
      <c r="D15" s="5" t="n">
        <v>10</v>
      </c>
    </row>
    <row r="16">
      <c r="A16" s="10" t="n">
        <v>4000000</v>
      </c>
      <c r="B16" s="5" t="n">
        <v>11</v>
      </c>
      <c r="C16" s="5" t="n">
        <v>11</v>
      </c>
      <c r="D16" s="5" t="n">
        <v>12</v>
      </c>
    </row>
    <row r="17">
      <c r="A17" s="10" t="n">
        <v>5000000</v>
      </c>
      <c r="B17" s="5" t="n">
        <v>13</v>
      </c>
      <c r="C17" s="5" t="n">
        <v>14</v>
      </c>
      <c r="D17" s="5" t="n">
        <v>14</v>
      </c>
    </row>
    <row r="18">
      <c r="A18" s="10" t="n">
        <v>6000000</v>
      </c>
      <c r="B18" s="5" t="n">
        <v>15</v>
      </c>
      <c r="C18" s="5" t="n">
        <v>16</v>
      </c>
      <c r="D18" s="5" t="n">
        <v>16</v>
      </c>
    </row>
    <row r="19">
      <c r="A19" s="10" t="n">
        <v>7000000</v>
      </c>
      <c r="B19" s="5" t="n">
        <v>18</v>
      </c>
      <c r="C19" s="5" t="n">
        <v>18</v>
      </c>
      <c r="D19" s="5" t="n">
        <v>19</v>
      </c>
    </row>
    <row r="21">
      <c r="A21" s="3" t="inlineStr">
        <is>
          <t>CUADRO 3 — SI VENDE A CUOTAS: CÓMO CRECE SU CARTERA (ejemplo: cada contrato = inicial $1,200,000 + 4 cuotas de $450,000; cierra la meta cada mes)</t>
        </is>
      </c>
    </row>
    <row r="22" ht="45" customHeight="1">
      <c r="A22" s="9" t="inlineStr">
        <is>
          <t>Mes</t>
        </is>
      </c>
      <c r="B22" s="9" t="inlineStr">
        <is>
          <t>Contratos nuevos</t>
        </is>
      </c>
      <c r="C22" s="9" t="inlineStr">
        <is>
          <t>Recaudo ventas nuevas (iniciales)</t>
        </is>
      </c>
      <c r="D22" s="9" t="inlineStr">
        <is>
          <t>Recaudo de cartera (cuotas anteriores)</t>
        </is>
      </c>
      <c r="E22" s="9" t="inlineStr">
        <is>
          <t>Recaudo total</t>
        </is>
      </c>
      <c r="F22" s="9" t="inlineStr">
        <is>
          <t>Comisión 12%</t>
        </is>
      </c>
      <c r="G22" s="9" t="inlineStr">
        <is>
          <t>Piso aplica</t>
        </is>
      </c>
      <c r="H22" s="9" t="inlineStr">
        <is>
          <t>INGRESO DEL MES</t>
        </is>
      </c>
    </row>
    <row r="23">
      <c r="A23" s="5" t="inlineStr">
        <is>
          <t>Mes 1</t>
        </is>
      </c>
      <c r="B23" s="5" t="n">
        <v>6</v>
      </c>
      <c r="C23" s="7" t="n">
        <v>7200000</v>
      </c>
      <c r="D23" s="7" t="n">
        <v>0</v>
      </c>
      <c r="E23" s="7" t="n">
        <v>7200000</v>
      </c>
      <c r="F23" s="7" t="n">
        <v>864000</v>
      </c>
      <c r="G23" s="5" t="inlineStr">
        <is>
          <t>sí</t>
        </is>
      </c>
      <c r="H23" s="8" t="n">
        <v>3500000</v>
      </c>
    </row>
    <row r="24">
      <c r="A24" s="5" t="inlineStr">
        <is>
          <t>Mes 2</t>
        </is>
      </c>
      <c r="B24" s="5" t="n">
        <v>8</v>
      </c>
      <c r="C24" s="7" t="n">
        <v>9600000</v>
      </c>
      <c r="D24" s="7" t="n">
        <v>2700000</v>
      </c>
      <c r="E24" s="7" t="n">
        <v>12300000</v>
      </c>
      <c r="F24" s="7" t="n">
        <v>1476000</v>
      </c>
      <c r="G24" s="5" t="inlineStr">
        <is>
          <t>sí</t>
        </is>
      </c>
      <c r="H24" s="8" t="n">
        <v>3500000</v>
      </c>
    </row>
    <row r="25">
      <c r="A25" s="5" t="inlineStr">
        <is>
          <t>Mes 3</t>
        </is>
      </c>
      <c r="B25" s="5" t="n">
        <v>8</v>
      </c>
      <c r="C25" s="7" t="n">
        <v>9600000</v>
      </c>
      <c r="D25" s="7" t="n">
        <v>6300000</v>
      </c>
      <c r="E25" s="7" t="n">
        <v>15900000</v>
      </c>
      <c r="F25" s="7" t="n">
        <v>1908000</v>
      </c>
      <c r="G25" s="5" t="inlineStr">
        <is>
          <t>sí</t>
        </is>
      </c>
      <c r="H25" s="8" t="n">
        <v>3500000</v>
      </c>
    </row>
    <row r="26">
      <c r="A26" s="5" t="inlineStr">
        <is>
          <t>Mes 4</t>
        </is>
      </c>
      <c r="B26" s="5" t="n">
        <v>10</v>
      </c>
      <c r="C26" s="7" t="n">
        <v>12000000</v>
      </c>
      <c r="D26" s="7" t="n">
        <v>9900000</v>
      </c>
      <c r="E26" s="7" t="n">
        <v>21900000</v>
      </c>
      <c r="F26" s="7" t="n">
        <v>2628000</v>
      </c>
      <c r="G26" s="5" t="inlineStr">
        <is>
          <t>no</t>
        </is>
      </c>
      <c r="H26" s="8" t="n">
        <v>2628000</v>
      </c>
    </row>
    <row r="27">
      <c r="A27" s="5" t="inlineStr">
        <is>
          <t>Mes 5</t>
        </is>
      </c>
      <c r="B27" s="5" t="n">
        <v>10</v>
      </c>
      <c r="C27" s="7" t="n">
        <v>12000000</v>
      </c>
      <c r="D27" s="7" t="n">
        <v>14400000</v>
      </c>
      <c r="E27" s="7" t="n">
        <v>26400000</v>
      </c>
      <c r="F27" s="7" t="n">
        <v>3168000</v>
      </c>
      <c r="G27" s="5" t="inlineStr">
        <is>
          <t>no</t>
        </is>
      </c>
      <c r="H27" s="8" t="n">
        <v>3168000</v>
      </c>
    </row>
    <row r="28">
      <c r="A28" s="5" t="inlineStr">
        <is>
          <t>Mes 6</t>
        </is>
      </c>
      <c r="B28" s="5" t="n">
        <v>10</v>
      </c>
      <c r="C28" s="7" t="n">
        <v>12000000</v>
      </c>
      <c r="D28" s="7" t="n">
        <v>16200000</v>
      </c>
      <c r="E28" s="7" t="n">
        <v>28200000</v>
      </c>
      <c r="F28" s="7" t="n">
        <v>3384000</v>
      </c>
      <c r="G28" s="5" t="inlineStr">
        <is>
          <t>no</t>
        </is>
      </c>
      <c r="H28" s="8" t="n">
        <v>3384000</v>
      </c>
    </row>
    <row r="29">
      <c r="A29" s="5" t="inlineStr">
        <is>
          <t>Mes 7</t>
        </is>
      </c>
      <c r="B29" s="5" t="n">
        <v>12</v>
      </c>
      <c r="C29" s="7" t="n">
        <v>14400000</v>
      </c>
      <c r="D29" s="7" t="n">
        <v>17100000</v>
      </c>
      <c r="E29" s="7" t="n">
        <v>31500000</v>
      </c>
      <c r="F29" s="7" t="n">
        <v>3780000</v>
      </c>
      <c r="G29" s="5" t="inlineStr">
        <is>
          <t>no</t>
        </is>
      </c>
      <c r="H29" s="8" t="n">
        <v>3780000</v>
      </c>
    </row>
    <row r="30">
      <c r="A30" s="5" t="inlineStr">
        <is>
          <t>Mes 8</t>
        </is>
      </c>
      <c r="B30" s="5" t="n">
        <v>12</v>
      </c>
      <c r="C30" s="7" t="n">
        <v>14400000</v>
      </c>
      <c r="D30" s="7" t="n">
        <v>18900000</v>
      </c>
      <c r="E30" s="7" t="n">
        <v>33300000</v>
      </c>
      <c r="F30" s="7" t="n">
        <v>3996000</v>
      </c>
      <c r="G30" s="5" t="inlineStr">
        <is>
          <t>no</t>
        </is>
      </c>
      <c r="H30" s="8" t="n">
        <v>3996000</v>
      </c>
    </row>
    <row r="31">
      <c r="A31" s="5" t="inlineStr">
        <is>
          <t>Mes 9</t>
        </is>
      </c>
      <c r="B31" s="5" t="n">
        <v>12</v>
      </c>
      <c r="C31" s="7" t="n">
        <v>14400000</v>
      </c>
      <c r="D31" s="7" t="n">
        <v>19800000</v>
      </c>
      <c r="E31" s="7" t="n">
        <v>34200000</v>
      </c>
      <c r="F31" s="7" t="n">
        <v>4104000</v>
      </c>
      <c r="G31" s="5" t="inlineStr">
        <is>
          <t>no</t>
        </is>
      </c>
      <c r="H31" s="8" t="n">
        <v>4104000</v>
      </c>
    </row>
    <row r="32">
      <c r="A32" s="5" t="inlineStr">
        <is>
          <t>Mes 10</t>
        </is>
      </c>
      <c r="B32" s="5" t="n">
        <v>12</v>
      </c>
      <c r="C32" s="7" t="n">
        <v>14400000</v>
      </c>
      <c r="D32" s="7" t="n">
        <v>20700000</v>
      </c>
      <c r="E32" s="7" t="n">
        <v>35100000</v>
      </c>
      <c r="F32" s="7" t="n">
        <v>4212000</v>
      </c>
      <c r="G32" s="5" t="inlineStr">
        <is>
          <t>no</t>
        </is>
      </c>
      <c r="H32" s="8" t="n">
        <v>4212000</v>
      </c>
    </row>
    <row r="33">
      <c r="A33" s="5" t="inlineStr">
        <is>
          <t>Mes 11</t>
        </is>
      </c>
      <c r="B33" s="5" t="n">
        <v>12</v>
      </c>
      <c r="C33" s="7" t="n">
        <v>14400000</v>
      </c>
      <c r="D33" s="7" t="n">
        <v>21600000</v>
      </c>
      <c r="E33" s="7" t="n">
        <v>36000000</v>
      </c>
      <c r="F33" s="7" t="n">
        <v>4320000</v>
      </c>
      <c r="G33" s="5" t="inlineStr">
        <is>
          <t>no</t>
        </is>
      </c>
      <c r="H33" s="8" t="n">
        <v>4320000</v>
      </c>
    </row>
    <row r="34">
      <c r="A34" s="5" t="inlineStr">
        <is>
          <t>Mes 12</t>
        </is>
      </c>
      <c r="B34" s="5" t="n">
        <v>12</v>
      </c>
      <c r="C34" s="7" t="n">
        <v>14400000</v>
      </c>
      <c r="D34" s="7" t="n">
        <v>21600000</v>
      </c>
      <c r="E34" s="7" t="n">
        <v>36000000</v>
      </c>
      <c r="F34" s="7" t="n">
        <v>4320000</v>
      </c>
      <c r="G34" s="5" t="inlineStr">
        <is>
          <t>no</t>
        </is>
      </c>
      <c r="H34" s="8" t="n">
        <v>4320000</v>
      </c>
    </row>
    <row r="35" ht="32" customHeight="1">
      <c r="A35" s="2" t="inlineStr">
        <is>
          <t>Lectura: a cuotas, los meses 1-3 los sostiene el piso mientras la cartera crece; desde el mes 4 la cartera de cuotas ya paga comisión todos los meses aunque venda menos. La comisión solo se paga sobre plata que entró.</t>
        </is>
      </c>
    </row>
    <row r="37">
      <c r="A37" s="11" t="inlineStr">
        <is>
          <t>RIESGO Y CONDICIONES</t>
        </is>
      </c>
    </row>
    <row r="38">
      <c r="A38" t="inlineStr">
        <is>
          <t>• Riesgo máximo de la academia: $10,500,000 (tres meses de piso si solo cumple los mínimos). Desde el mes 4, cero fijo: todo sale de recaudo.</t>
        </is>
      </c>
    </row>
    <row r="39">
      <c r="A39" t="inlineStr">
        <is>
          <t>• El piso se gana por semana: los viernes se miden citas atendidas (mínimo 5) y contratos; si una semana no cumple, el piso del mes se paga proporcional.</t>
        </is>
      </c>
    </row>
    <row r="40">
      <c r="A40" t="inlineStr">
        <is>
          <t>• Forma del contrato: prestación de servicios con honorarios mínimos garantizados por tres meses (como trabaja la industria de seguros); revisar con el abogado. Si fuera laboral: salario mínimo legal + comisiones.</t>
        </is>
      </c>
    </row>
    <row r="41">
      <c r="A41" t="inlineStr">
        <is>
          <t>• Prueba práctica de cierre antes de firmar. Tres resultados escritos cada corte: PASA · CARTA DE AMPLIACIÓN (una semana con meta escrita) · SALIDA (ver REGLAMENTO_MEDICION_COMERCIAL).</t>
        </is>
      </c>
    </row>
    <row r="42">
      <c r="A42" t="inlineStr">
        <is>
          <t>• Empresas que ella abra (fuera del piloto docente): 3% del recaudo corporativo del primer año. Frontera con la asesora actual: la comisión es de quien atiende la cita y cierra.</t>
        </is>
      </c>
    </row>
  </sheetData>
  <mergeCells count="8">
    <mergeCell ref="A11:P11"/>
    <mergeCell ref="A42:P42"/>
    <mergeCell ref="A40:P40"/>
    <mergeCell ref="A39:P39"/>
    <mergeCell ref="A35:P35"/>
    <mergeCell ref="A38:P38"/>
    <mergeCell ref="A41:P41"/>
    <mergeCell ref="A2:P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44" customWidth="1" min="1" max="1"/>
    <col width="30" customWidth="1" min="2" max="2"/>
    <col width="40" customWidth="1" min="3" max="3"/>
    <col width="18" customWidth="1" min="4" max="4"/>
    <col width="12" customWidth="1" min="5" max="5"/>
  </cols>
  <sheetData>
    <row r="1">
      <c r="A1" s="1" t="inlineStr">
        <is>
          <t>CÓMO CUENTA CADA TIPO DE VENTA (para la meta y para la comisión)</t>
        </is>
      </c>
    </row>
    <row r="3">
      <c r="A3" s="12" t="inlineStr">
        <is>
          <t>Tipo de venta</t>
        </is>
      </c>
      <c r="B3" s="12" t="inlineStr">
        <is>
          <t>Cuenta para la meta</t>
        </is>
      </c>
      <c r="C3" s="12" t="inlineStr">
        <is>
          <t>Comisión</t>
        </is>
      </c>
      <c r="D3" s="12" t="inlineStr">
        <is>
          <t>Nota</t>
        </is>
      </c>
    </row>
    <row r="4">
      <c r="A4" s="13" t="inlineStr">
        <is>
          <t>Programa completo de contado ($4.78M-$5.9M)</t>
        </is>
      </c>
      <c r="B4" s="13" t="inlineStr">
        <is>
          <t>1 contrato</t>
        </is>
      </c>
      <c r="C4" s="13" t="inlineStr">
        <is>
          <t>12% / 15% del recaudo, de una vez ($574k-$709k)</t>
        </is>
      </c>
      <c r="D4" s="13" t="inlineStr">
        <is>
          <t>Mejor venta posible</t>
        </is>
      </c>
    </row>
    <row r="5">
      <c r="A5" s="13" t="inlineStr">
        <is>
          <t>Arranque de contado ($2.99M)</t>
        </is>
      </c>
      <c r="B5" s="13" t="inlineStr">
        <is>
          <t>1 contrato</t>
        </is>
      </c>
      <c r="C5" s="13" t="inlineStr">
        <is>
          <t>$358.800 de una vez (12%)</t>
        </is>
      </c>
      <c r="D5" s="13" t="inlineStr"/>
    </row>
    <row r="6">
      <c r="A6" s="13" t="inlineStr">
        <is>
          <t>Cualquier programa a cuotas</t>
        </is>
      </c>
      <c r="B6" s="13" t="inlineStr">
        <is>
          <t>1 contrato cuando la INICIAL está pagada (mínimo $1.000.000 o 30%)</t>
        </is>
      </c>
      <c r="C6" s="13" t="inlineStr">
        <is>
          <t>12% de la inicial ese mes + 12% de cada cuota cuando entra</t>
        </is>
      </c>
      <c r="D6" s="13" t="inlineStr">
        <is>
          <t>La cartera: comisión mes a mes</t>
        </is>
      </c>
    </row>
    <row r="7">
      <c r="A7" s="13" t="inlineStr">
        <is>
          <t>Separación de $300.000 sola</t>
        </is>
      </c>
      <c r="B7" s="13" t="inlineStr">
        <is>
          <t>0 (lead en proceso)</t>
        </is>
      </c>
      <c r="C7" s="13" t="inlineStr">
        <is>
          <t>12% de los $300.000; el resto cuando pague la inicial</t>
        </is>
      </c>
      <c r="D7" s="13" t="inlineStr">
        <is>
          <t>No llena la meta</t>
        </is>
      </c>
    </row>
    <row r="8">
      <c r="A8" s="13" t="inlineStr">
        <is>
          <t>Nivel suelto / sabatino ($1.6M-$2.3M)</t>
        </is>
      </c>
      <c r="B8" s="13" t="inlineStr">
        <is>
          <t>½ contrato</t>
        </is>
      </c>
      <c r="C8" s="13" t="inlineStr">
        <is>
          <t>12% del recaudo</t>
        </is>
      </c>
      <c r="D8" s="13" t="inlineStr"/>
    </row>
    <row r="9">
      <c r="A9" s="13" t="inlineStr">
        <is>
          <t>Cliente antiguo (continuidad, supletorio)</t>
        </is>
      </c>
      <c r="B9" s="13" t="inlineStr">
        <is>
          <t>½ contrato</t>
        </is>
      </c>
      <c r="C9" s="13" t="inlineStr">
        <is>
          <t>6% del recaudo</t>
        </is>
      </c>
      <c r="D9" s="13" t="inlineStr"/>
    </row>
    <row r="10">
      <c r="A10" s="13" t="inlineStr">
        <is>
          <t>Plan empresa que ella abra (fuera del piloto docente)</t>
        </is>
      </c>
      <c r="B10" s="13" t="inlineStr">
        <is>
          <t>1 contrato por cupo</t>
        </is>
      </c>
      <c r="C10" s="13" t="inlineStr">
        <is>
          <t>3% del recaudo corporativo del primer año</t>
        </is>
      </c>
      <c r="D10" s="13" t="inlineStr">
        <is>
          <t>Gerencia firma</t>
        </is>
      </c>
    </row>
    <row r="12">
      <c r="A12" s="14" t="inlineStr">
        <is>
          <t>Regla: la meta solo se cumple con programas con inicial pagada; separaciones y niveles sueltos no la llenan. La comisión siempre es sobre plata que entró.</t>
        </is>
      </c>
    </row>
    <row r="14">
      <c r="A14" s="11" t="inlineStr">
        <is>
          <t>LO QUE RECIBE LA ACADEMIA (si fueran de contado)</t>
        </is>
      </c>
    </row>
    <row r="15">
      <c r="A15" s="12" t="inlineStr">
        <is>
          <t>Contratos al mes</t>
        </is>
      </c>
      <c r="B15" s="12" t="inlineStr">
        <is>
          <t>Recaudo</t>
        </is>
      </c>
      <c r="C15" s="12" t="inlineStr">
        <is>
          <t>Comisión (12%/15%)</t>
        </is>
      </c>
      <c r="D15" s="12" t="inlineStr">
        <is>
          <t>Neto academia</t>
        </is>
      </c>
      <c r="E15" s="12" t="inlineStr">
        <is>
          <t>% para ella</t>
        </is>
      </c>
    </row>
    <row r="16">
      <c r="A16" s="5" t="n">
        <v>8</v>
      </c>
      <c r="B16" s="7" t="n">
        <v>23920000</v>
      </c>
      <c r="C16" s="7" t="n">
        <v>2870400</v>
      </c>
      <c r="D16" s="7" t="n">
        <v>21049600</v>
      </c>
      <c r="E16" s="15" t="n">
        <v>0.12</v>
      </c>
    </row>
    <row r="17">
      <c r="A17" s="5" t="n">
        <v>10</v>
      </c>
      <c r="B17" s="7" t="n">
        <v>29900000</v>
      </c>
      <c r="C17" s="7" t="n">
        <v>3588000</v>
      </c>
      <c r="D17" s="7" t="n">
        <v>26312000</v>
      </c>
      <c r="E17" s="15" t="n">
        <v>0.12</v>
      </c>
    </row>
    <row r="18">
      <c r="A18" s="5" t="n">
        <v>12</v>
      </c>
      <c r="B18" s="7" t="n">
        <v>35880000</v>
      </c>
      <c r="C18" s="7" t="n">
        <v>4305600</v>
      </c>
      <c r="D18" s="7" t="n">
        <v>31574400</v>
      </c>
      <c r="E18" s="15" t="n">
        <v>0.12</v>
      </c>
    </row>
    <row r="19">
      <c r="A19" s="5" t="n">
        <v>15</v>
      </c>
      <c r="B19" s="7" t="n">
        <v>44850000</v>
      </c>
      <c r="C19" s="7" t="n">
        <v>5651100</v>
      </c>
      <c r="D19" s="7" t="n">
        <v>39198900</v>
      </c>
      <c r="E19" s="15" t="n">
        <v>0.126</v>
      </c>
    </row>
    <row r="20">
      <c r="A20" s="5" t="n">
        <v>18</v>
      </c>
      <c r="B20" s="7" t="n">
        <v>53820000</v>
      </c>
      <c r="C20" s="7" t="n">
        <v>6996600</v>
      </c>
      <c r="D20" s="7" t="n">
        <v>46823400</v>
      </c>
      <c r="E20" s="15" t="n">
        <v>0.13</v>
      </c>
    </row>
    <row r="22" ht="40" customHeight="1">
      <c r="A22" s="2" t="inlineStr">
        <is>
          <t>12 contratos al mes = la academia sana (~100 estudiantes pagando, ~$35M de caja). A cuotas, el recaudo del mes arranca en ~$14M de iniciales y llega a ~$36M hacia el quinto mes con la cartera; la comisión va igual de atrás.</t>
        </is>
      </c>
    </row>
  </sheetData>
  <mergeCells count="2">
    <mergeCell ref="A12:D12"/>
    <mergeCell ref="A22:E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2" customWidth="1" min="3" max="3"/>
    <col width="12" customWidth="1" min="4" max="4"/>
    <col width="14" customWidth="1" min="5" max="5"/>
    <col width="16" customWidth="1" min="6" max="6"/>
    <col width="16" customWidth="1" min="7" max="7"/>
    <col width="10" customWidth="1" min="8" max="8"/>
    <col width="9" customWidth="1" min="9" max="9"/>
    <col width="22" customWidth="1" min="10" max="10"/>
    <col width="30" customWidth="1" min="11" max="11"/>
  </cols>
  <sheetData>
    <row r="1">
      <c r="A1" s="1" t="inlineStr">
        <is>
          <t>TABLERO SEMANAL DEL CLOSER — lo llena ella cada viernes; gerencia lo revisa en 10 minutos</t>
        </is>
      </c>
    </row>
    <row r="2" ht="35" customHeight="1">
      <c r="A2" s="2" t="inlineStr">
        <is>
          <t>Regla: lo que no está en el tablero no existe. Cada viernes: citas atendidas (mínimo 5), contratos con inicial pagada, recaudo. El segundo viernes del mes es el pre-corte (alerta); el último viernes, la medición.</t>
        </is>
      </c>
    </row>
    <row r="4" ht="40" customHeight="1">
      <c r="A4" s="9" t="inlineStr">
        <is>
          <t>Semana (viernes)</t>
        </is>
      </c>
      <c r="B4" s="9" t="inlineStr">
        <is>
          <t>Mes</t>
        </is>
      </c>
      <c r="C4" s="9" t="inlineStr">
        <is>
          <t>Citas agendadas</t>
        </is>
      </c>
      <c r="D4" s="9" t="inlineStr">
        <is>
          <t>Citas atendidas</t>
        </is>
      </c>
      <c r="E4" s="9" t="inlineStr">
        <is>
          <t>Contratos con inicial</t>
        </is>
      </c>
      <c r="F4" s="9" t="inlineStr">
        <is>
          <t>Recaudo de la semana</t>
        </is>
      </c>
      <c r="G4" s="9" t="inlineStr">
        <is>
          <t>Acumulado contratos del mes</t>
        </is>
      </c>
      <c r="H4" s="9" t="inlineStr">
        <is>
          <t>Meta del mes</t>
        </is>
      </c>
      <c r="I4" s="9" t="inlineStr">
        <is>
          <t>% de meta</t>
        </is>
      </c>
      <c r="J4" s="9" t="inlineStr">
        <is>
          <t>Resultado (PASA / CARTA / SALIDA)</t>
        </is>
      </c>
      <c r="K4" s="9" t="inlineStr">
        <is>
          <t>Observación</t>
        </is>
      </c>
    </row>
    <row r="5">
      <c r="A5" s="5" t="n"/>
      <c r="B5" s="5" t="n"/>
      <c r="C5" s="5" t="n"/>
      <c r="D5" s="5" t="n"/>
      <c r="E5" s="5" t="n"/>
      <c r="F5" s="7" t="n"/>
      <c r="G5" s="5" t="n"/>
      <c r="H5" s="5" t="n"/>
      <c r="I5" s="16">
        <f>IF(H5="","",G5/H5)</f>
        <v/>
      </c>
      <c r="J5" s="5" t="n"/>
      <c r="K5" s="5" t="n"/>
    </row>
    <row r="6">
      <c r="A6" s="5" t="n"/>
      <c r="B6" s="5" t="n"/>
      <c r="C6" s="5" t="n"/>
      <c r="D6" s="5" t="n"/>
      <c r="E6" s="5" t="n"/>
      <c r="F6" s="7" t="n"/>
      <c r="G6" s="5" t="n"/>
      <c r="H6" s="5" t="n"/>
      <c r="I6" s="16">
        <f>IF(H6="","",G6/H6)</f>
        <v/>
      </c>
      <c r="J6" s="5" t="n"/>
      <c r="K6" s="5" t="n"/>
    </row>
    <row r="7">
      <c r="A7" s="5" t="n"/>
      <c r="B7" s="5" t="n"/>
      <c r="C7" s="5" t="n"/>
      <c r="D7" s="5" t="n"/>
      <c r="E7" s="5" t="n"/>
      <c r="F7" s="7" t="n"/>
      <c r="G7" s="5" t="n"/>
      <c r="H7" s="5" t="n"/>
      <c r="I7" s="16">
        <f>IF(H7="","",G7/H7)</f>
        <v/>
      </c>
      <c r="J7" s="5" t="n"/>
      <c r="K7" s="5" t="n"/>
    </row>
    <row r="8">
      <c r="A8" s="5" t="n"/>
      <c r="B8" s="5" t="n"/>
      <c r="C8" s="5" t="n"/>
      <c r="D8" s="5" t="n"/>
      <c r="E8" s="5" t="n"/>
      <c r="F8" s="7" t="n"/>
      <c r="G8" s="5" t="n"/>
      <c r="H8" s="5" t="n"/>
      <c r="I8" s="16">
        <f>IF(H8="","",G8/H8)</f>
        <v/>
      </c>
      <c r="J8" s="5" t="n"/>
      <c r="K8" s="5" t="n"/>
    </row>
    <row r="9">
      <c r="A9" s="5" t="n"/>
      <c r="B9" s="5" t="n"/>
      <c r="C9" s="5" t="n"/>
      <c r="D9" s="5" t="n"/>
      <c r="E9" s="5" t="n"/>
      <c r="F9" s="7" t="n"/>
      <c r="G9" s="5" t="n"/>
      <c r="H9" s="5" t="n"/>
      <c r="I9" s="16">
        <f>IF(H9="","",G9/H9)</f>
        <v/>
      </c>
      <c r="J9" s="5" t="n"/>
      <c r="K9" s="5" t="n"/>
    </row>
    <row r="10">
      <c r="A10" s="5" t="n"/>
      <c r="B10" s="5" t="n"/>
      <c r="C10" s="5" t="n"/>
      <c r="D10" s="5" t="n"/>
      <c r="E10" s="5" t="n"/>
      <c r="F10" s="7" t="n"/>
      <c r="G10" s="5" t="n"/>
      <c r="H10" s="5" t="n"/>
      <c r="I10" s="16">
        <f>IF(H10="","",G10/H10)</f>
        <v/>
      </c>
      <c r="J10" s="5" t="n"/>
      <c r="K10" s="5" t="n"/>
    </row>
    <row r="11">
      <c r="A11" s="5" t="n"/>
      <c r="B11" s="5" t="n"/>
      <c r="C11" s="5" t="n"/>
      <c r="D11" s="5" t="n"/>
      <c r="E11" s="5" t="n"/>
      <c r="F11" s="7" t="n"/>
      <c r="G11" s="5" t="n"/>
      <c r="H11" s="5" t="n"/>
      <c r="I11" s="16">
        <f>IF(H11="","",G11/H11)</f>
        <v/>
      </c>
      <c r="J11" s="5" t="n"/>
      <c r="K11" s="5" t="n"/>
    </row>
    <row r="12">
      <c r="A12" s="5" t="n"/>
      <c r="B12" s="5" t="n"/>
      <c r="C12" s="5" t="n"/>
      <c r="D12" s="5" t="n"/>
      <c r="E12" s="5" t="n"/>
      <c r="F12" s="7" t="n"/>
      <c r="G12" s="5" t="n"/>
      <c r="H12" s="5" t="n"/>
      <c r="I12" s="16">
        <f>IF(H12="","",G12/H12)</f>
        <v/>
      </c>
      <c r="J12" s="5" t="n"/>
      <c r="K12" s="5" t="n"/>
    </row>
    <row r="13">
      <c r="A13" s="5" t="n"/>
      <c r="B13" s="5" t="n"/>
      <c r="C13" s="5" t="n"/>
      <c r="D13" s="5" t="n"/>
      <c r="E13" s="5" t="n"/>
      <c r="F13" s="7" t="n"/>
      <c r="G13" s="5" t="n"/>
      <c r="H13" s="5" t="n"/>
      <c r="I13" s="16">
        <f>IF(H13="","",G13/H13)</f>
        <v/>
      </c>
      <c r="J13" s="5" t="n"/>
      <c r="K13" s="5" t="n"/>
    </row>
    <row r="14">
      <c r="A14" s="5" t="n"/>
      <c r="B14" s="5" t="n"/>
      <c r="C14" s="5" t="n"/>
      <c r="D14" s="5" t="n"/>
      <c r="E14" s="5" t="n"/>
      <c r="F14" s="7" t="n"/>
      <c r="G14" s="5" t="n"/>
      <c r="H14" s="5" t="n"/>
      <c r="I14" s="16">
        <f>IF(H14="","",G14/H14)</f>
        <v/>
      </c>
      <c r="J14" s="5" t="n"/>
      <c r="K14" s="5" t="n"/>
    </row>
    <row r="15">
      <c r="A15" s="5" t="n"/>
      <c r="B15" s="5" t="n"/>
      <c r="C15" s="5" t="n"/>
      <c r="D15" s="5" t="n"/>
      <c r="E15" s="5" t="n"/>
      <c r="F15" s="7" t="n"/>
      <c r="G15" s="5" t="n"/>
      <c r="H15" s="5" t="n"/>
      <c r="I15" s="16">
        <f>IF(H15="","",G15/H15)</f>
        <v/>
      </c>
      <c r="J15" s="5" t="n"/>
      <c r="K15" s="5" t="n"/>
    </row>
    <row r="16">
      <c r="A16" s="5" t="n"/>
      <c r="B16" s="5" t="n"/>
      <c r="C16" s="5" t="n"/>
      <c r="D16" s="5" t="n"/>
      <c r="E16" s="5" t="n"/>
      <c r="F16" s="7" t="n"/>
      <c r="G16" s="5" t="n"/>
      <c r="H16" s="5" t="n"/>
      <c r="I16" s="16">
        <f>IF(H16="","",G16/H16)</f>
        <v/>
      </c>
      <c r="J16" s="5" t="n"/>
      <c r="K16" s="5" t="n"/>
    </row>
    <row r="17">
      <c r="A17" s="5" t="n"/>
      <c r="B17" s="5" t="n"/>
      <c r="C17" s="5" t="n"/>
      <c r="D17" s="5" t="n"/>
      <c r="E17" s="5" t="n"/>
      <c r="F17" s="7" t="n"/>
      <c r="G17" s="5" t="n"/>
      <c r="H17" s="5" t="n"/>
      <c r="I17" s="16">
        <f>IF(H17="","",G17/H17)</f>
        <v/>
      </c>
      <c r="J17" s="5" t="n"/>
      <c r="K17" s="5" t="n"/>
    </row>
    <row r="18">
      <c r="A18" s="5" t="n"/>
      <c r="B18" s="5" t="n"/>
      <c r="C18" s="5" t="n"/>
      <c r="D18" s="5" t="n"/>
      <c r="E18" s="5" t="n"/>
      <c r="F18" s="7" t="n"/>
      <c r="G18" s="5" t="n"/>
      <c r="H18" s="5" t="n"/>
      <c r="I18" s="16">
        <f>IF(H18="","",G18/H18)</f>
        <v/>
      </c>
      <c r="J18" s="5" t="n"/>
      <c r="K18" s="5" t="n"/>
    </row>
    <row r="19">
      <c r="A19" s="5" t="n"/>
      <c r="B19" s="5" t="n"/>
      <c r="C19" s="5" t="n"/>
      <c r="D19" s="5" t="n"/>
      <c r="E19" s="5" t="n"/>
      <c r="F19" s="7" t="n"/>
      <c r="G19" s="5" t="n"/>
      <c r="H19" s="5" t="n"/>
      <c r="I19" s="16">
        <f>IF(H19="","",G19/H19)</f>
        <v/>
      </c>
      <c r="J19" s="5" t="n"/>
      <c r="K19" s="5" t="n"/>
    </row>
    <row r="20">
      <c r="A20" s="5" t="n"/>
      <c r="B20" s="5" t="n"/>
      <c r="C20" s="5" t="n"/>
      <c r="D20" s="5" t="n"/>
      <c r="E20" s="5" t="n"/>
      <c r="F20" s="7" t="n"/>
      <c r="G20" s="5" t="n"/>
      <c r="H20" s="5" t="n"/>
      <c r="I20" s="16">
        <f>IF(H20="","",G20/H20)</f>
        <v/>
      </c>
      <c r="J20" s="5" t="n"/>
      <c r="K20" s="5" t="n"/>
    </row>
    <row r="21">
      <c r="A21" s="5" t="n"/>
      <c r="B21" s="5" t="n"/>
      <c r="C21" s="5" t="n"/>
      <c r="D21" s="5" t="n"/>
      <c r="E21" s="5" t="n"/>
      <c r="F21" s="7" t="n"/>
      <c r="G21" s="5" t="n"/>
      <c r="H21" s="5" t="n"/>
      <c r="I21" s="16">
        <f>IF(H21="","",G21/H21)</f>
        <v/>
      </c>
      <c r="J21" s="5" t="n"/>
      <c r="K21" s="5" t="n"/>
    </row>
    <row r="22">
      <c r="A22" s="5" t="n"/>
      <c r="B22" s="5" t="n"/>
      <c r="C22" s="5" t="n"/>
      <c r="D22" s="5" t="n"/>
      <c r="E22" s="5" t="n"/>
      <c r="F22" s="7" t="n"/>
      <c r="G22" s="5" t="n"/>
      <c r="H22" s="5" t="n"/>
      <c r="I22" s="16">
        <f>IF(H22="","",G22/H22)</f>
        <v/>
      </c>
      <c r="J22" s="5" t="n"/>
      <c r="K22" s="5" t="n"/>
    </row>
    <row r="23">
      <c r="A23" s="5" t="n"/>
      <c r="B23" s="5" t="n"/>
      <c r="C23" s="5" t="n"/>
      <c r="D23" s="5" t="n"/>
      <c r="E23" s="5" t="n"/>
      <c r="F23" s="7" t="n"/>
      <c r="G23" s="5" t="n"/>
      <c r="H23" s="5" t="n"/>
      <c r="I23" s="16">
        <f>IF(H23="","",G23/H23)</f>
        <v/>
      </c>
      <c r="J23" s="5" t="n"/>
      <c r="K23" s="5" t="n"/>
    </row>
    <row r="24">
      <c r="A24" s="5" t="n"/>
      <c r="B24" s="5" t="n"/>
      <c r="C24" s="5" t="n"/>
      <c r="D24" s="5" t="n"/>
      <c r="E24" s="5" t="n"/>
      <c r="F24" s="7" t="n"/>
      <c r="G24" s="5" t="n"/>
      <c r="H24" s="5" t="n"/>
      <c r="I24" s="16">
        <f>IF(H24="","",G24/H24)</f>
        <v/>
      </c>
      <c r="J24" s="5" t="n"/>
      <c r="K24" s="5" t="n"/>
    </row>
    <row r="25">
      <c r="A25" s="5" t="n"/>
      <c r="B25" s="5" t="n"/>
      <c r="C25" s="5" t="n"/>
      <c r="D25" s="5" t="n"/>
      <c r="E25" s="5" t="n"/>
      <c r="F25" s="7" t="n"/>
      <c r="G25" s="5" t="n"/>
      <c r="H25" s="5" t="n"/>
      <c r="I25" s="16">
        <f>IF(H25="","",G25/H25)</f>
        <v/>
      </c>
      <c r="J25" s="5" t="n"/>
      <c r="K25" s="5" t="n"/>
    </row>
    <row r="26">
      <c r="A26" s="5" t="n"/>
      <c r="B26" s="5" t="n"/>
      <c r="C26" s="5" t="n"/>
      <c r="D26" s="5" t="n"/>
      <c r="E26" s="5" t="n"/>
      <c r="F26" s="7" t="n"/>
      <c r="G26" s="5" t="n"/>
      <c r="H26" s="5" t="n"/>
      <c r="I26" s="16">
        <f>IF(H26="","",G26/H26)</f>
        <v/>
      </c>
      <c r="J26" s="5" t="n"/>
      <c r="K26" s="5" t="n"/>
    </row>
    <row r="27">
      <c r="A27" s="5" t="n"/>
      <c r="B27" s="5" t="n"/>
      <c r="C27" s="5" t="n"/>
      <c r="D27" s="5" t="n"/>
      <c r="E27" s="5" t="n"/>
      <c r="F27" s="7" t="n"/>
      <c r="G27" s="5" t="n"/>
      <c r="H27" s="5" t="n"/>
      <c r="I27" s="16">
        <f>IF(H27="","",G27/H27)</f>
        <v/>
      </c>
      <c r="J27" s="5" t="n"/>
      <c r="K27" s="5" t="n"/>
    </row>
    <row r="28">
      <c r="A28" s="5" t="n"/>
      <c r="B28" s="5" t="n"/>
      <c r="C28" s="5" t="n"/>
      <c r="D28" s="5" t="n"/>
      <c r="E28" s="5" t="n"/>
      <c r="F28" s="7" t="n"/>
      <c r="G28" s="5" t="n"/>
      <c r="H28" s="5" t="n"/>
      <c r="I28" s="16">
        <f>IF(H28="","",G28/H28)</f>
        <v/>
      </c>
      <c r="J28" s="5" t="n"/>
      <c r="K28" s="5" t="n"/>
    </row>
    <row r="29">
      <c r="A29" s="5" t="n"/>
      <c r="B29" s="5" t="n"/>
      <c r="C29" s="5" t="n"/>
      <c r="D29" s="5" t="n"/>
      <c r="E29" s="5" t="n"/>
      <c r="F29" s="7" t="n"/>
      <c r="G29" s="5" t="n"/>
      <c r="H29" s="5" t="n"/>
      <c r="I29" s="16">
        <f>IF(H29="","",G29/H29)</f>
        <v/>
      </c>
      <c r="J29" s="5" t="n"/>
      <c r="K29" s="5" t="n"/>
    </row>
    <row r="30">
      <c r="A30" s="5" t="n"/>
      <c r="B30" s="5" t="n"/>
      <c r="C30" s="5" t="n"/>
      <c r="D30" s="5" t="n"/>
      <c r="E30" s="5" t="n"/>
      <c r="F30" s="7" t="n"/>
      <c r="G30" s="5" t="n"/>
      <c r="H30" s="5" t="n"/>
      <c r="I30" s="16">
        <f>IF(H30="","",G30/H30)</f>
        <v/>
      </c>
      <c r="J30" s="5" t="n"/>
      <c r="K30" s="5" t="n"/>
    </row>
    <row r="31">
      <c r="A31" s="5" t="n"/>
      <c r="B31" s="5" t="n"/>
      <c r="C31" s="5" t="n"/>
      <c r="D31" s="5" t="n"/>
      <c r="E31" s="5" t="n"/>
      <c r="F31" s="7" t="n"/>
      <c r="G31" s="5" t="n"/>
      <c r="H31" s="5" t="n"/>
      <c r="I31" s="16">
        <f>IF(H31="","",G31/H31)</f>
        <v/>
      </c>
      <c r="J31" s="5" t="n"/>
      <c r="K31" s="5" t="n"/>
    </row>
    <row r="32">
      <c r="A32" s="5" t="n"/>
      <c r="B32" s="5" t="n"/>
      <c r="C32" s="5" t="n"/>
      <c r="D32" s="5" t="n"/>
      <c r="E32" s="5" t="n"/>
      <c r="F32" s="7" t="n"/>
      <c r="G32" s="5" t="n"/>
      <c r="H32" s="5" t="n"/>
      <c r="I32" s="16">
        <f>IF(H32="","",G32/H32)</f>
        <v/>
      </c>
      <c r="J32" s="5" t="n"/>
      <c r="K32" s="5" t="n"/>
    </row>
    <row r="33">
      <c r="A33" s="5" t="n"/>
      <c r="B33" s="5" t="n"/>
      <c r="C33" s="5" t="n"/>
      <c r="D33" s="5" t="n"/>
      <c r="E33" s="5" t="n"/>
      <c r="F33" s="7" t="n"/>
      <c r="G33" s="5" t="n"/>
      <c r="H33" s="5" t="n"/>
      <c r="I33" s="16">
        <f>IF(H33="","",G33/H33)</f>
        <v/>
      </c>
      <c r="J33" s="5" t="n"/>
      <c r="K33" s="5" t="n"/>
    </row>
    <row r="34">
      <c r="A34" s="5" t="n"/>
      <c r="B34" s="5" t="n"/>
      <c r="C34" s="5" t="n"/>
      <c r="D34" s="5" t="n"/>
      <c r="E34" s="5" t="n"/>
      <c r="F34" s="7" t="n"/>
      <c r="G34" s="5" t="n"/>
      <c r="H34" s="5" t="n"/>
      <c r="I34" s="16">
        <f>IF(H34="","",G34/H34)</f>
        <v/>
      </c>
      <c r="J34" s="5" t="n"/>
      <c r="K34" s="5" t="n"/>
    </row>
    <row r="35">
      <c r="A35" s="5" t="n"/>
      <c r="B35" s="5" t="n"/>
      <c r="C35" s="5" t="n"/>
      <c r="D35" s="5" t="n"/>
      <c r="E35" s="5" t="n"/>
      <c r="F35" s="7" t="n"/>
      <c r="G35" s="5" t="n"/>
      <c r="H35" s="5" t="n"/>
      <c r="I35" s="16">
        <f>IF(H35="","",G35/H35)</f>
        <v/>
      </c>
      <c r="J35" s="5" t="n"/>
      <c r="K35" s="5" t="n"/>
    </row>
    <row r="36">
      <c r="A36" s="5" t="n"/>
      <c r="B36" s="5" t="n"/>
      <c r="C36" s="5" t="n"/>
      <c r="D36" s="5" t="n"/>
      <c r="E36" s="5" t="n"/>
      <c r="F36" s="7" t="n"/>
      <c r="G36" s="5" t="n"/>
      <c r="H36" s="5" t="n"/>
      <c r="I36" s="16">
        <f>IF(H36="","",G36/H36)</f>
        <v/>
      </c>
      <c r="J36" s="5" t="n"/>
      <c r="K36" s="5" t="n"/>
    </row>
    <row r="37">
      <c r="A37" s="5" t="n"/>
      <c r="B37" s="5" t="n"/>
      <c r="C37" s="5" t="n"/>
      <c r="D37" s="5" t="n"/>
      <c r="E37" s="5" t="n"/>
      <c r="F37" s="7" t="n"/>
      <c r="G37" s="5" t="n"/>
      <c r="H37" s="5" t="n"/>
      <c r="I37" s="16">
        <f>IF(H37="","",G37/H37)</f>
        <v/>
      </c>
      <c r="J37" s="5" t="n"/>
      <c r="K37" s="5" t="n"/>
    </row>
    <row r="38">
      <c r="A38" s="5" t="n"/>
      <c r="B38" s="5" t="n"/>
      <c r="C38" s="5" t="n"/>
      <c r="D38" s="5" t="n"/>
      <c r="E38" s="5" t="n"/>
      <c r="F38" s="7" t="n"/>
      <c r="G38" s="5" t="n"/>
      <c r="H38" s="5" t="n"/>
      <c r="I38" s="16">
        <f>IF(H38="","",G38/H38)</f>
        <v/>
      </c>
      <c r="J38" s="5" t="n"/>
      <c r="K38" s="5" t="n"/>
    </row>
    <row r="39">
      <c r="A39" s="5" t="n"/>
      <c r="B39" s="5" t="n"/>
      <c r="C39" s="5" t="n"/>
      <c r="D39" s="5" t="n"/>
      <c r="E39" s="5" t="n"/>
      <c r="F39" s="7" t="n"/>
      <c r="G39" s="5" t="n"/>
      <c r="H39" s="5" t="n"/>
      <c r="I39" s="16">
        <f>IF(H39="","",G39/H39)</f>
        <v/>
      </c>
      <c r="J39" s="5" t="n"/>
      <c r="K39" s="5" t="n"/>
    </row>
    <row r="40">
      <c r="A40" s="5" t="n"/>
      <c r="B40" s="5" t="n"/>
      <c r="C40" s="5" t="n"/>
      <c r="D40" s="5" t="n"/>
      <c r="E40" s="5" t="n"/>
      <c r="F40" s="7" t="n"/>
      <c r="G40" s="5" t="n"/>
      <c r="H40" s="5" t="n"/>
      <c r="I40" s="16">
        <f>IF(H40="","",G40/H40)</f>
        <v/>
      </c>
      <c r="J40" s="5" t="n"/>
      <c r="K40" s="5" t="n"/>
    </row>
    <row r="41">
      <c r="A41" s="5" t="n"/>
      <c r="B41" s="5" t="n"/>
      <c r="C41" s="5" t="n"/>
      <c r="D41" s="5" t="n"/>
      <c r="E41" s="5" t="n"/>
      <c r="F41" s="7" t="n"/>
      <c r="G41" s="5" t="n"/>
      <c r="H41" s="5" t="n"/>
      <c r="I41" s="16">
        <f>IF(H41="","",G41/H41)</f>
        <v/>
      </c>
      <c r="J41" s="5" t="n"/>
      <c r="K41" s="5" t="n"/>
    </row>
    <row r="42">
      <c r="A42" s="5" t="n"/>
      <c r="B42" s="5" t="n"/>
      <c r="C42" s="5" t="n"/>
      <c r="D42" s="5" t="n"/>
      <c r="E42" s="5" t="n"/>
      <c r="F42" s="7" t="n"/>
      <c r="G42" s="5" t="n"/>
      <c r="H42" s="5" t="n"/>
      <c r="I42" s="16">
        <f>IF(H42="","",G42/H42)</f>
        <v/>
      </c>
      <c r="J42" s="5" t="n"/>
      <c r="K42" s="5" t="n"/>
    </row>
    <row r="43">
      <c r="A43" s="5" t="n"/>
      <c r="B43" s="5" t="n"/>
      <c r="C43" s="5" t="n"/>
      <c r="D43" s="5" t="n"/>
      <c r="E43" s="5" t="n"/>
      <c r="F43" s="7" t="n"/>
      <c r="G43" s="5" t="n"/>
      <c r="H43" s="5" t="n"/>
      <c r="I43" s="16">
        <f>IF(H43="","",G43/H43)</f>
        <v/>
      </c>
      <c r="J43" s="5" t="n"/>
      <c r="K43" s="5" t="n"/>
    </row>
    <row r="44">
      <c r="A44" s="5" t="n"/>
      <c r="B44" s="5" t="n"/>
      <c r="C44" s="5" t="n"/>
      <c r="D44" s="5" t="n"/>
      <c r="E44" s="5" t="n"/>
      <c r="F44" s="7" t="n"/>
      <c r="G44" s="5" t="n"/>
      <c r="H44" s="5" t="n"/>
      <c r="I44" s="16">
        <f>IF(H44="","",G44/H44)</f>
        <v/>
      </c>
      <c r="J44" s="5" t="n"/>
      <c r="K44" s="5" t="n"/>
    </row>
    <row r="45">
      <c r="A45" s="5" t="n"/>
      <c r="B45" s="5" t="n"/>
      <c r="C45" s="5" t="n"/>
      <c r="D45" s="5" t="n"/>
      <c r="E45" s="5" t="n"/>
      <c r="F45" s="7" t="n"/>
      <c r="G45" s="5" t="n"/>
      <c r="H45" s="5" t="n"/>
      <c r="I45" s="16">
        <f>IF(H45="","",G45/H45)</f>
        <v/>
      </c>
      <c r="J45" s="5" t="n"/>
      <c r="K45" s="5" t="n"/>
    </row>
    <row r="46">
      <c r="A46" s="5" t="n"/>
      <c r="B46" s="5" t="n"/>
      <c r="C46" s="5" t="n"/>
      <c r="D46" s="5" t="n"/>
      <c r="E46" s="5" t="n"/>
      <c r="F46" s="7" t="n"/>
      <c r="G46" s="5" t="n"/>
      <c r="H46" s="5" t="n"/>
      <c r="I46" s="16">
        <f>IF(H46="","",G46/H46)</f>
        <v/>
      </c>
      <c r="J46" s="5" t="n"/>
      <c r="K46" s="5" t="n"/>
    </row>
    <row r="47">
      <c r="A47" s="5" t="n"/>
      <c r="B47" s="5" t="n"/>
      <c r="C47" s="5" t="n"/>
      <c r="D47" s="5" t="n"/>
      <c r="E47" s="5" t="n"/>
      <c r="F47" s="7" t="n"/>
      <c r="G47" s="5" t="n"/>
      <c r="H47" s="5" t="n"/>
      <c r="I47" s="16">
        <f>IF(H47="","",G47/H47)</f>
        <v/>
      </c>
      <c r="J47" s="5" t="n"/>
      <c r="K47" s="5" t="n"/>
    </row>
    <row r="48">
      <c r="A48" s="5" t="n"/>
      <c r="B48" s="5" t="n"/>
      <c r="C48" s="5" t="n"/>
      <c r="D48" s="5" t="n"/>
      <c r="E48" s="5" t="n"/>
      <c r="F48" s="7" t="n"/>
      <c r="G48" s="5" t="n"/>
      <c r="H48" s="5" t="n"/>
      <c r="I48" s="16">
        <f>IF(H48="","",G48/H48)</f>
        <v/>
      </c>
      <c r="J48" s="5" t="n"/>
      <c r="K48" s="5" t="n"/>
    </row>
    <row r="49">
      <c r="A49" s="5" t="n"/>
      <c r="B49" s="5" t="n"/>
      <c r="C49" s="5" t="n"/>
      <c r="D49" s="5" t="n"/>
      <c r="E49" s="5" t="n"/>
      <c r="F49" s="7" t="n"/>
      <c r="G49" s="5" t="n"/>
      <c r="H49" s="5" t="n"/>
      <c r="I49" s="16">
        <f>IF(H49="","",G49/H49)</f>
        <v/>
      </c>
      <c r="J49" s="5" t="n"/>
      <c r="K49" s="5" t="n"/>
    </row>
    <row r="50">
      <c r="A50" s="5" t="n"/>
      <c r="B50" s="5" t="n"/>
      <c r="C50" s="5" t="n"/>
      <c r="D50" s="5" t="n"/>
      <c r="E50" s="5" t="n"/>
      <c r="F50" s="7" t="n"/>
      <c r="G50" s="5" t="n"/>
      <c r="H50" s="5" t="n"/>
      <c r="I50" s="16">
        <f>IF(H50="","",G50/H50)</f>
        <v/>
      </c>
      <c r="J50" s="5" t="n"/>
      <c r="K50" s="5" t="n"/>
    </row>
    <row r="51">
      <c r="A51" s="5" t="n"/>
      <c r="B51" s="5" t="n"/>
      <c r="C51" s="5" t="n"/>
      <c r="D51" s="5" t="n"/>
      <c r="E51" s="5" t="n"/>
      <c r="F51" s="7" t="n"/>
      <c r="G51" s="5" t="n"/>
      <c r="H51" s="5" t="n"/>
      <c r="I51" s="16">
        <f>IF(H51="","",G51/H51)</f>
        <v/>
      </c>
      <c r="J51" s="5" t="n"/>
      <c r="K51" s="5" t="n"/>
    </row>
    <row r="52">
      <c r="A52" s="5" t="n"/>
      <c r="B52" s="5" t="n"/>
      <c r="C52" s="5" t="n"/>
      <c r="D52" s="5" t="n"/>
      <c r="E52" s="5" t="n"/>
      <c r="F52" s="7" t="n"/>
      <c r="G52" s="5" t="n"/>
      <c r="H52" s="5" t="n"/>
      <c r="I52" s="16">
        <f>IF(H52="","",G52/H52)</f>
        <v/>
      </c>
      <c r="J52" s="5" t="n"/>
      <c r="K52" s="5" t="n"/>
    </row>
    <row r="53">
      <c r="A53" s="5" t="n"/>
      <c r="B53" s="5" t="n"/>
      <c r="C53" s="5" t="n"/>
      <c r="D53" s="5" t="n"/>
      <c r="E53" s="5" t="n"/>
      <c r="F53" s="7" t="n"/>
      <c r="G53" s="5" t="n"/>
      <c r="H53" s="5" t="n"/>
      <c r="I53" s="16">
        <f>IF(H53="","",G53/H53)</f>
        <v/>
      </c>
      <c r="J53" s="5" t="n"/>
      <c r="K53" s="5" t="n"/>
    </row>
    <row r="54">
      <c r="A54" s="5" t="n"/>
      <c r="B54" s="5" t="n"/>
      <c r="C54" s="5" t="n"/>
      <c r="D54" s="5" t="n"/>
      <c r="E54" s="5" t="n"/>
      <c r="F54" s="7" t="n"/>
      <c r="G54" s="5" t="n"/>
      <c r="H54" s="5" t="n"/>
      <c r="I54" s="16">
        <f>IF(H54="","",G54/H54)</f>
        <v/>
      </c>
      <c r="J54" s="5" t="n"/>
      <c r="K54" s="5" t="n"/>
    </row>
    <row r="55">
      <c r="A55" s="5" t="n"/>
      <c r="B55" s="5" t="n"/>
      <c r="C55" s="5" t="n"/>
      <c r="D55" s="5" t="n"/>
      <c r="E55" s="5" t="n"/>
      <c r="F55" s="7" t="n"/>
      <c r="G55" s="5" t="n"/>
      <c r="H55" s="5" t="n"/>
      <c r="I55" s="16">
        <f>IF(H55="","",G55/H55)</f>
        <v/>
      </c>
      <c r="J55" s="5" t="n"/>
      <c r="K55" s="5" t="n"/>
    </row>
    <row r="56">
      <c r="A56" s="5" t="n"/>
      <c r="B56" s="5" t="n"/>
      <c r="C56" s="5" t="n"/>
      <c r="D56" s="5" t="n"/>
      <c r="E56" s="5" t="n"/>
      <c r="F56" s="7" t="n"/>
      <c r="G56" s="5" t="n"/>
      <c r="H56" s="5" t="n"/>
      <c r="I56" s="16">
        <f>IF(H56="","",G56/H56)</f>
        <v/>
      </c>
      <c r="J56" s="5" t="n"/>
      <c r="K56" s="5" t="n"/>
    </row>
  </sheetData>
  <mergeCells count="1">
    <mergeCell ref="A2:K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2026-10-08T18:12:29Z</dcterms:created>
  <dcterms:modified xmlns:dcterms="http://purl.org/dc/terms/" xmlns:xsi="http://www.w3.org/2001/XMLSchema-instance" xsi:type="dcterms:W3CDTF">2026-10-08T18:12:29Z</dcterms:modified>
</cp:coreProperties>
</file>