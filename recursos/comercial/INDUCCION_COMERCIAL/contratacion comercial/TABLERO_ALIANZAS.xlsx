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ICIO" sheetId="1" state="visible" r:id="rId1"/>
    <sheet xmlns:r="http://schemas.openxmlformats.org/officeDocument/2006/relationships" name="TABLERO" sheetId="2" state="visible" r:id="rId2"/>
    <sheet xmlns:r="http://schemas.openxmlformats.org/officeDocument/2006/relationships" name="EMPRESAS" sheetId="3" state="visible" r:id="rId3"/>
    <sheet xmlns:r="http://schemas.openxmlformats.org/officeDocument/2006/relationships" name="ACTIVIDAD_DIARIA" sheetId="4" state="visible" r:id="rId4"/>
    <sheet xmlns:r="http://schemas.openxmlformats.org/officeDocument/2006/relationships" name="PLAN_SEMANAL" sheetId="5" state="visible" r:id="rId5"/>
    <sheet xmlns:r="http://schemas.openxmlformats.org/officeDocument/2006/relationships" name="METAS" sheetId="6" state="visible" r:id="rId6"/>
    <sheet xmlns:r="http://schemas.openxmlformats.org/officeDocument/2006/relationships" name="LIQUIDACION" sheetId="7" state="visible" r:id="rId7"/>
    <sheet xmlns:r="http://schemas.openxmlformats.org/officeDocument/2006/relationships" name="PRIMERA_SEMANA" sheetId="8" state="visible" r:id="rId8"/>
  </sheets>
  <definedNames/>
  <calcPr calcId="124519" fullCalcOnLoad="1"/>
</workbook>
</file>

<file path=xl/styles.xml><?xml version="1.0" encoding="utf-8"?>
<styleSheet xmlns="http://schemas.openxmlformats.org/spreadsheetml/2006/main">
  <numFmts count="6">
    <numFmt numFmtId="164" formatCode="DD/MM/YYYY"/>
    <numFmt numFmtId="165" formatCode="&quot;$&quot;#,##0"/>
    <numFmt numFmtId="166" formatCode="DD/MM/YYYY HH:MM"/>
    <numFmt numFmtId="167" formatCode="HH:MM"/>
    <numFmt numFmtId="168" formatCode="0.0"/>
    <numFmt numFmtId="169" formatCode="MMMM YYYY"/>
  </numFmts>
  <fonts count="5">
    <font>
      <name val="Calibri"/>
      <family val="2"/>
      <color theme="1"/>
      <sz val="11"/>
      <scheme val="minor"/>
    </font>
    <font>
      <b val="1"/>
      <color rgb="00E54C09"/>
      <sz val="14"/>
    </font>
    <font>
      <b val="1"/>
    </font>
    <font>
      <i val="1"/>
      <color rgb="006B6B6B"/>
      <sz val="9"/>
    </font>
    <font>
      <b val="1"/>
      <color rgb="00FFFFFF"/>
    </font>
  </fonts>
  <fills count="4">
    <fill>
      <patternFill/>
    </fill>
    <fill>
      <patternFill patternType="gray125"/>
    </fill>
    <fill>
      <patternFill patternType="solid">
        <fgColor rgb="00FFF8E7"/>
      </patternFill>
    </fill>
    <fill>
      <patternFill patternType="solid">
        <fgColor rgb="00E54C09"/>
      </patternFill>
    </fill>
  </fills>
  <borders count="2">
    <border>
      <left/>
      <right/>
      <top/>
      <bottom/>
      <diagonal/>
    </border>
    <border>
      <left style="thin">
        <color rgb="00E6DCCB"/>
      </left>
      <right style="thin">
        <color rgb="00E6DCCB"/>
      </right>
      <top style="thin">
        <color rgb="00E6DCCB"/>
      </top>
      <bottom style="thin">
        <color rgb="00E6DCCB"/>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164" fontId="0" fillId="2" borderId="0" pivotButton="0" quotePrefix="0" xfId="0"/>
    <xf numFmtId="0" fontId="3" fillId="0" borderId="0" pivotButton="0" quotePrefix="0" xfId="0"/>
    <xf numFmtId="0" fontId="0" fillId="2" borderId="0" pivotButton="0" quotePrefix="0" xfId="0"/>
    <xf numFmtId="164" fontId="0" fillId="0" borderId="0" pivotButton="0" quotePrefix="0" xfId="0"/>
    <xf numFmtId="0" fontId="0" fillId="0" borderId="0" applyAlignment="1" pivotButton="0" quotePrefix="0" xfId="0">
      <alignment vertical="top" wrapText="1"/>
    </xf>
    <xf numFmtId="9" fontId="0" fillId="0" borderId="0" pivotButton="0" quotePrefix="0" xfId="0"/>
    <xf numFmtId="0" fontId="4" fillId="3" borderId="1" applyAlignment="1" pivotButton="0" quotePrefix="0" xfId="0">
      <alignment vertical="center" wrapText="1"/>
    </xf>
    <xf numFmtId="0" fontId="0" fillId="0" borderId="1" pivotButton="0" quotePrefix="0" xfId="0"/>
    <xf numFmtId="165" fontId="0" fillId="0" borderId="1" pivotButton="0" quotePrefix="0" xfId="0"/>
    <xf numFmtId="165" fontId="0" fillId="0" borderId="0" pivotButton="0" quotePrefix="0" xfId="0"/>
    <xf numFmtId="166" fontId="0" fillId="2" borderId="0" pivotButton="0" quotePrefix="0" xfId="0"/>
    <xf numFmtId="0" fontId="2" fillId="0" borderId="1" pivotButton="0" quotePrefix="0" xfId="0"/>
    <xf numFmtId="167" fontId="0" fillId="0" borderId="1" pivotButton="0" quotePrefix="0" xfId="0"/>
    <xf numFmtId="0" fontId="0" fillId="0" borderId="1" applyAlignment="1" pivotButton="0" quotePrefix="0" xfId="0">
      <alignment vertical="top" wrapText="1"/>
    </xf>
    <xf numFmtId="168" fontId="0" fillId="2" borderId="1" pivotButton="0" quotePrefix="0" xfId="0"/>
    <xf numFmtId="168" fontId="2" fillId="0" borderId="0" pivotButton="0" quotePrefix="0" xfId="0"/>
    <xf numFmtId="169" fontId="0" fillId="2" borderId="0" pivotButton="0" quotePrefix="0" xfId="0"/>
    <xf numFmtId="165" fontId="0" fillId="2" borderId="0" pivotButton="0" quotePrefix="0" xfId="0"/>
    <xf numFmtId="0" fontId="4" fillId="3" borderId="0" pivotButton="0" quotePrefix="0" xfId="0"/>
    <xf numFmtId="165" fontId="2" fillId="0" borderId="0" pivotButton="0" quotePrefix="0" xfId="0"/>
  </cellXfs>
  <cellStyles count="1">
    <cellStyle name="Normal" xfId="0" builtinId="0" hidden="0"/>
  </cellStyles>
  <dxfs count="3">
    <dxf>
      <fill>
        <patternFill patternType="solid">
          <fgColor rgb="00C6EFCE"/>
        </patternFill>
      </fill>
    </dxf>
    <dxf>
      <fill>
        <patternFill patternType="solid">
          <fgColor rgb="00FFEB9C"/>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44" customWidth="1" min="1" max="1"/>
    <col width="16" customWidth="1" min="2" max="2"/>
    <col width="50" customWidth="1" min="3" max="3"/>
  </cols>
  <sheetData>
    <row r="1">
      <c r="A1" s="1" t="inlineStr">
        <is>
          <t>TABLERO DE ALIANZAS — Heiiu English Academy</t>
        </is>
      </c>
    </row>
    <row r="3">
      <c r="A3" s="2" t="inlineStr">
        <is>
          <t>Fecha de inicio del contrato</t>
        </is>
      </c>
      <c r="B3" s="3" t="n"/>
      <c r="C3" s="4" t="inlineStr">
        <is>
          <t>← la llena gerencia el primer día (dd/mm/aaaa)</t>
        </is>
      </c>
    </row>
    <row r="4">
      <c r="A4" s="2" t="inlineStr">
        <is>
          <t>Mes de contrato que se revisa (1, 2, 3…)</t>
        </is>
      </c>
      <c r="B4" s="5">
        <f>IF(B3="","",DATEDIF(B3,TODAY(),"m")+1)</f>
        <v/>
      </c>
      <c r="C4" s="4" t="inlineStr">
        <is>
          <t>← por defecto el mes de contrato actual; se puede escribir otro número</t>
        </is>
      </c>
    </row>
    <row r="5">
      <c r="A5" s="2" t="inlineStr">
        <is>
          <t>Ese mes va del</t>
        </is>
      </c>
      <c r="B5" s="6">
        <f>IF(B3="","",EDATE(B3,B4-1))</f>
        <v/>
      </c>
    </row>
    <row r="6">
      <c r="A6" s="2" t="inlineStr">
        <is>
          <t>al</t>
        </is>
      </c>
      <c r="B6" s="6">
        <f>IF(B3="","",EDATE(B3,B4)-1)</f>
        <v/>
      </c>
    </row>
    <row r="8">
      <c r="A8" s="1" t="inlineStr">
        <is>
          <t>CÓMO SE USA</t>
        </is>
      </c>
    </row>
    <row r="9" ht="45" customHeight="1">
      <c r="A9" s="7" t="inlineStr">
        <is>
          <t>1. EMPRESAS: cada empresa, fundación o colegio se registra el MISMO DÍA del primer contacto con quien decide. Quien registra primero, es dueño (atribución).</t>
        </is>
      </c>
    </row>
    <row r="10" ht="45" customHeight="1">
      <c r="A10" s="7" t="inlineStr">
        <is>
          <t>2. ACTIVIDAD_DIARIA: al cierre de cada día, antes de las 6:00 p. m., una fila: contactos y reuniones con empresas, personas contactadas, citas, inscritos pagados, caja, lo más importante, mañana hago y bloqueos. Es el reporte diario; gerencia lo lee en Drive.</t>
        </is>
      </c>
    </row>
    <row r="11" ht="45" customHeight="1">
      <c r="A11" s="7" t="inlineStr">
        <is>
          <t>2b. PLAN_SEMANAL: el lunes antes de las 8:30 a. m. se llena la semana (franjas, lugar, qué) y se comparte con coordinación. Es el registro de la jornada: 42 horas.</t>
        </is>
      </c>
    </row>
    <row r="12" ht="45" customHeight="1">
      <c r="A12" s="7" t="inlineStr">
        <is>
          <t>3. TABLERO: se calcula solo. Muestra el mes contra los mínimos, el semáforo y las fechas de decisión. Gerencia lo revisa a diario.</t>
        </is>
      </c>
    </row>
    <row r="13" ht="45" customHeight="1">
      <c r="A13" s="7" t="inlineStr">
        <is>
          <t>4. LIQUIDACION: contaduría o gerencia registra lo RECAUDADO en el mes por cada empresa y cada estudiante atribuido; la comisión se calcula sola. Se liquida el día 5 de cada mes y se paga con la nómina.</t>
        </is>
      </c>
    </row>
    <row r="14" ht="45" customHeight="1">
      <c r="A14" s="7" t="inlineStr">
        <is>
          <t>5. METAS: tabla pactada en el anexo del contrato (no se cambia sin otrosí).</t>
        </is>
      </c>
    </row>
    <row r="15" ht="45" customHeight="1">
      <c r="A15" s="7" t="inlineStr">
        <is>
          <t>6. PRIMERA_SEMANA: plan de arranque y benchmarking de la competencia.</t>
        </is>
      </c>
    </row>
    <row r="16" ht="45" customHeight="1">
      <c r="A16" s="7" t="inlineStr">
        <is>
          <t>Definiciones: CONTACTO = habló con quien puede firmar (no recepción). REUNIÓN = presentación de 20+ min con quien decide. FIRMA = convenio firmado u orden de plan empresa firmada CON inicial pagada. ACTIVACIÓN = charla, postulación, feria o jornada en una alianza firmada. VENTA FIRMADA = valor total del contrato con inicial pagada (contado o cuotas).</t>
        </is>
      </c>
    </row>
  </sheetData>
  <mergeCells count="8">
    <mergeCell ref="A16:F16"/>
    <mergeCell ref="A11:F11"/>
    <mergeCell ref="A10:F10"/>
    <mergeCell ref="A13:F13"/>
    <mergeCell ref="A14:F14"/>
    <mergeCell ref="A9:F9"/>
    <mergeCell ref="A12:F12"/>
    <mergeCell ref="A15:F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36" customWidth="1" min="1" max="1"/>
    <col width="46" customWidth="1" min="2" max="2"/>
    <col width="40" customWidth="1" min="3" max="3"/>
    <col width="18" customWidth="1" min="4" max="4"/>
    <col width="14" customWidth="1" min="5" max="5"/>
  </cols>
  <sheetData>
    <row r="1">
      <c r="A1" s="1" t="inlineStr">
        <is>
          <t>TABLERO DEL MES</t>
        </is>
      </c>
    </row>
    <row r="2">
      <c r="A2" s="2" t="inlineStr">
        <is>
          <t>Periodo revisado (desde)</t>
        </is>
      </c>
      <c r="B2" s="6">
        <f>INICIO!B5</f>
        <v/>
      </c>
      <c r="C2" s="6">
        <f>INICIO!B6</f>
        <v/>
      </c>
    </row>
    <row r="3">
      <c r="A3" s="2" t="inlineStr">
        <is>
          <t>Mes de contrato</t>
        </is>
      </c>
      <c r="B3">
        <f>INICIO!B4</f>
        <v/>
      </c>
    </row>
    <row r="4">
      <c r="A4" s="2" t="inlineStr">
        <is>
          <t>Días hábiles transcurridos / del mes</t>
        </is>
      </c>
      <c r="B4">
        <f>IF(B2="","",NETWORKDAYS(B2,MIN(TODAY(),C2)))</f>
        <v/>
      </c>
      <c r="C4">
        <f>IF(B2="","",NETWORKDAYS(B2,C2))</f>
        <v/>
      </c>
    </row>
    <row r="5">
      <c r="A5" s="2" t="inlineStr">
        <is>
          <t>Avance del mes (%)</t>
        </is>
      </c>
      <c r="B5" s="8">
        <f>IF(B2="","",B4/C4)</f>
        <v/>
      </c>
    </row>
    <row r="7" ht="32" customHeight="1">
      <c r="A7" s="9" t="inlineStr">
        <is>
          <t>Indicador</t>
        </is>
      </c>
      <c r="B7" s="9" t="inlineStr">
        <is>
          <t>Mínimo / meta del mes</t>
        </is>
      </c>
      <c r="C7" s="9" t="inlineStr">
        <is>
          <t>Llevamos</t>
        </is>
      </c>
      <c r="D7" s="9" t="inlineStr">
        <is>
          <t>Debería llevar hoy</t>
        </is>
      </c>
      <c r="E7" s="9" t="inlineStr">
        <is>
          <t>Semáforo</t>
        </is>
      </c>
    </row>
    <row r="8">
      <c r="A8" s="10" t="inlineStr">
        <is>
          <t>Contactos nuevos con decisor</t>
        </is>
      </c>
      <c r="B8" s="10" t="n">
        <v>40</v>
      </c>
      <c r="C8" s="10">
        <f>SUMIFS(ACTIVIDAD_DIARIA!$B:$B,ACTIVIDAD_DIARIA!$A:$A,"&gt;="&amp;$B$2,ACTIVIDAD_DIARIA!$A:$A,"&lt;="&amp;$C$2)</f>
        <v/>
      </c>
      <c r="D8" s="10">
        <f>IF($B$5="","",ROUND(B8*$B$5,0))</f>
        <v/>
      </c>
      <c r="E8" s="10">
        <f>IF(OR(B8="",$B$5=""),"",IF(C8&gt;=D8,"VERDE",IF(C8&gt;=D8*0.7,"AMARILLO","ROJO")))</f>
        <v/>
      </c>
    </row>
    <row r="9">
      <c r="A9" s="10" t="inlineStr">
        <is>
          <t>Reuniones</t>
        </is>
      </c>
      <c r="B9" s="10" t="n">
        <v>12</v>
      </c>
      <c r="C9" s="10">
        <f>SUMIFS(ACTIVIDAD_DIARIA!$C:$C,ACTIVIDAD_DIARIA!$A:$A,"&gt;="&amp;$B$2,ACTIVIDAD_DIARIA!$A:$A,"&lt;="&amp;$C$2)</f>
        <v/>
      </c>
      <c r="D9" s="10">
        <f>IF($B$5="","",ROUND(B9*$B$5,0))</f>
        <v/>
      </c>
      <c r="E9" s="10">
        <f>IF(OR(B9="",$B$5=""),"",IF(C9&gt;=D9,"VERDE",IF(C9&gt;=D9*0.7,"AMARILLO","ROJO")))</f>
        <v/>
      </c>
    </row>
    <row r="10">
      <c r="A10" s="10" t="inlineStr">
        <is>
          <t>Activaciones</t>
        </is>
      </c>
      <c r="B10" s="10">
        <f>IF($B$3=1,0,IF($B$3=2,2,3))</f>
        <v/>
      </c>
      <c r="C10" s="10">
        <f>SUMIFS(ACTIVIDAD_DIARIA!$D:$D,ACTIVIDAD_DIARIA!$A:$A,"&gt;="&amp;$B$2,ACTIVIDAD_DIARIA!$A:$A,"&lt;="&amp;$C$2)</f>
        <v/>
      </c>
      <c r="D10" s="10">
        <f>IF($B$5="","",ROUND(B10*$B$5,0))</f>
        <v/>
      </c>
      <c r="E10" s="10">
        <f>IF(OR(B10="",$B$5=""),"",IF(C10&gt;=D10,"VERDE",IF(C10&gt;=D10*0.7,"AMARILLO","ROJO")))</f>
        <v/>
      </c>
    </row>
    <row r="11">
      <c r="A11" s="10" t="inlineStr">
        <is>
          <t>Firmas del mes</t>
        </is>
      </c>
      <c r="B11" s="10" t="n">
        <v>2</v>
      </c>
      <c r="C11" s="10">
        <f>SUMIFS(ACTIVIDAD_DIARIA!$E:$E,ACTIVIDAD_DIARIA!$A:$A,"&gt;="&amp;$B$2,ACTIVIDAD_DIARIA!$A:$A,"&lt;="&amp;$C$2)</f>
        <v/>
      </c>
      <c r="D11" s="10">
        <f>IF($B$5="","",ROUND(B11*$B$5,0))</f>
        <v/>
      </c>
      <c r="E11" s="10">
        <f>IF(OR(B11="",$B$5=""),"",IF(C11&gt;=D11,"VERDE",IF(C11&gt;=D11*0.7,"AMARILLO","ROJO")))</f>
        <v/>
      </c>
    </row>
    <row r="12">
      <c r="A12" s="10" t="inlineStr">
        <is>
          <t>Ventas firmadas del mes</t>
        </is>
      </c>
      <c r="B12" s="11">
        <f>IF($B$3="","",IF($B$3&lt;=3,30000000,INDEX(METAS!$E$2:$E$9,MIN(8,ROUNDUP($B$3/3,0)))))</f>
        <v/>
      </c>
      <c r="C12" s="11">
        <f>SUMIFS(ACTIVIDAD_DIARIA!$F:$F,ACTIVIDAD_DIARIA!$A:$A,"&gt;="&amp;$B$2,ACTIVIDAD_DIARIA!$A:$A,"&lt;="&amp;$C$2)</f>
        <v/>
      </c>
      <c r="D12" s="11">
        <f>IF($B$5="","",ROUND(B12*$B$5,0))</f>
        <v/>
      </c>
      <c r="E12" s="10">
        <f>IF(OR(B12="",$B$5=""),"",IF(C12&gt;=D12,"VERDE",IF(C12&gt;=D12*0.7,"AMARILLO","ROJO")))</f>
        <v/>
      </c>
    </row>
    <row r="13">
      <c r="A13" s="2" t="inlineStr">
        <is>
          <t>Firmas acumuladas desde el inicio</t>
        </is>
      </c>
      <c r="B13">
        <f>IF($B$3=1,2,IF($B$3=2,4,IF($B$3=3,6,"—")))</f>
        <v/>
      </c>
      <c r="C13">
        <f>COUNTIFS(EMPRESAS!$I:$I,"Convenio firmado")+COUNTIFS(EMPRESAS!$I:$I,"Orden pagada")</f>
        <v/>
      </c>
    </row>
    <row r="15">
      <c r="A15" s="2" t="inlineStr">
        <is>
          <t>EMBUDO DEL MES (de cada 10 contactos, ¿cuántos llegan?)</t>
        </is>
      </c>
    </row>
    <row r="16">
      <c r="A16" t="inlineStr">
        <is>
          <t>Reuniones / contactos</t>
        </is>
      </c>
      <c r="B16" s="8">
        <f>IFERROR(C9/C8,"")</f>
        <v/>
      </c>
      <c r="C16" s="4" t="inlineStr">
        <is>
          <t>referencia: 30% (12 de 40)</t>
        </is>
      </c>
    </row>
    <row r="17">
      <c r="A17" t="inlineStr">
        <is>
          <t>Firmas / reuniones</t>
        </is>
      </c>
      <c r="B17" s="8">
        <f>IFERROR(C11/C9,"")</f>
        <v/>
      </c>
      <c r="C17" s="4" t="inlineStr">
        <is>
          <t>referencia: 17% (2 de 12)</t>
        </is>
      </c>
    </row>
    <row r="19">
      <c r="A19" s="2" t="inlineStr">
        <is>
          <t>PIPELINE (lo que viene)</t>
        </is>
      </c>
    </row>
    <row r="20">
      <c r="A20" t="inlineStr">
        <is>
          <t>Valor ponderado en negociación</t>
        </is>
      </c>
      <c r="B20" s="12">
        <f>SUM(EMPRESAS!$V:$V)</f>
        <v/>
      </c>
    </row>
    <row r="21">
      <c r="A21" t="inlineStr">
        <is>
          <t>Con cierre estimado en los próximos 30 días</t>
        </is>
      </c>
      <c r="B21" s="12">
        <f>SUMPRODUCT((EMPRESAS!$O$2:$O$401&gt;=TODAY())*(EMPRESAS!$O$2:$O$401&lt;=TODAY()+30)*(EMPRESAS!$V$2:$V$401&lt;&gt;"")*N(+EMPRESAS!$V$2:$V$401))</f>
        <v/>
      </c>
    </row>
    <row r="22">
      <c r="A22" t="inlineStr">
        <is>
          <t>Convenios firmados sin activar (más de 30 días)</t>
        </is>
      </c>
      <c r="B22">
        <f>SUMPRODUCT((EMPRESAS!$I$2:$I$401="Convenio firmado")*(EMPRESAS!$S$2:$S$401="")*(EMPRESAS!$Q$2:$Q$401&lt;&gt;"")*(TODAY()-EMPRESAS!$Q$2:$Q$401&gt;30))</f>
        <v/>
      </c>
    </row>
    <row r="23">
      <c r="A23" t="inlineStr">
        <is>
          <t>Próximos pasos vencidos</t>
        </is>
      </c>
      <c r="B23">
        <f>SUMPRODUCT((EMPRESAS!$U$2:$U$401&lt;&gt;"")*(EMPRESAS!$U$2:$U$401&lt;TODAY())*(EMPRESAS!$I$2:$I$401&lt;&gt;"Perdida")*(EMPRESAS!$I$2:$I$401&lt;&gt;"Orden pagada"))</f>
        <v/>
      </c>
    </row>
    <row r="25">
      <c r="A25" s="2" t="inlineStr">
        <is>
          <t>FECHAS DE DECISIÓN (primer trimestre)</t>
        </is>
      </c>
    </row>
    <row r="26" ht="32" customHeight="1">
      <c r="A26" s="9" t="inlineStr">
        <is>
          <t>Fecha</t>
        </is>
      </c>
      <c r="B26" s="9" t="inlineStr">
        <is>
          <t>Qué se revisa</t>
        </is>
      </c>
      <c r="C26" s="9" t="inlineStr">
        <is>
          <t>Si no se cumple</t>
        </is>
      </c>
    </row>
    <row r="27" ht="30" customHeight="1">
      <c r="A27" s="6">
        <f>IF(INICIO!$B$3="","",WORKDAY(INICIO!$B$3-1,10))</f>
        <v/>
      </c>
      <c r="B27" s="7" t="inlineStr">
        <is>
          <t>Alerta temprana (≈ día 15): 20 contactos, 6 reuniones, 1 firma</t>
        </is>
      </c>
      <c r="C27" s="7" t="inlineStr">
        <is>
          <t>Conversación de ajuste esa misma semana, con plan escrito</t>
        </is>
      </c>
    </row>
    <row r="28" ht="30" customHeight="1">
      <c r="A28" s="6">
        <f>IF(INICIO!$B$3="","",EDATE(INICIO!$B$3,1)-1)</f>
        <v/>
      </c>
      <c r="B28" s="7" t="inlineStr">
        <is>
          <t>Cierre del mes 1: gestión + 2 firmas (gracia de 5 días para lo firmado)</t>
        </is>
      </c>
      <c r="C28" s="7" t="inlineStr">
        <is>
          <t>Sin ingreso mínimo garantizado ese mes; plan de ajuste de una semana</t>
        </is>
      </c>
    </row>
    <row r="29" ht="30" customHeight="1">
      <c r="A29" s="6">
        <f>IF(INICIO!$B$3="","",INICIO!$B$3+49)</f>
        <v/>
      </c>
      <c r="B29" s="7" t="inlineStr">
        <is>
          <t>DÍA 50: decisión de continuidad ANTES de vencer el período de prueba (2 meses)</t>
        </is>
      </c>
      <c r="C29" s="7" t="inlineStr">
        <is>
          <t>Terminar dentro del período de prueba</t>
        </is>
      </c>
    </row>
    <row r="30" ht="30" customHeight="1">
      <c r="A30" s="6">
        <f>IF(INICIO!$B$3="","",EDATE(INICIO!$B$3,3)-1)</f>
        <v/>
      </c>
      <c r="B30" s="7" t="inlineStr">
        <is>
          <t>Cierre del T1: $90M de meta y 6 firmas acumuladas</t>
        </is>
      </c>
      <c r="C30" s="7" t="inlineStr">
        <is>
          <t>Revisión de continuidad y del plan del T2</t>
        </is>
      </c>
    </row>
  </sheetData>
  <conditionalFormatting sqref="E8:E12">
    <cfRule type="cellIs" priority="1" operator="equal" dxfId="0">
      <formula>"VERDE"</formula>
    </cfRule>
    <cfRule type="cellIs" priority="2" operator="equal" dxfId="1">
      <formula>"AMARILLO"</formula>
    </cfRule>
    <cfRule type="cellIs" priority="3" operator="equal" dxfId="2">
      <formula>"ROJO"</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4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3" customWidth="1" min="2" max="2"/>
    <col width="14" customWidth="1" min="3" max="3"/>
    <col width="20" customWidth="1" min="4" max="4"/>
    <col width="16" customWidth="1" min="5" max="5"/>
    <col width="20" customWidth="1" min="6" max="6"/>
    <col width="13" customWidth="1" min="7" max="7"/>
    <col width="16" customWidth="1" min="8" max="8"/>
    <col width="18" customWidth="1" min="9" max="9"/>
    <col width="12" customWidth="1" min="10" max="10"/>
    <col width="16" customWidth="1" min="11" max="11"/>
    <col width="11" customWidth="1" min="12" max="12"/>
    <col width="14" customWidth="1" min="13" max="13"/>
    <col width="11" customWidth="1" min="14" max="14"/>
    <col width="13" customWidth="1" min="15" max="15"/>
    <col width="14" customWidth="1" min="16" max="16"/>
    <col width="12" customWidth="1" min="17" max="17"/>
    <col width="10" customWidth="1" min="18" max="18"/>
    <col width="12" customWidth="1" min="19" max="19"/>
    <col width="30" customWidth="1" min="20" max="20"/>
    <col width="12" customWidth="1" min="21" max="21"/>
    <col width="14" customWidth="1" min="22" max="22"/>
  </cols>
  <sheetData>
    <row r="1" ht="32" customHeight="1">
      <c r="A1" s="9" t="inlineStr">
        <is>
          <t>Empresa / fundación / colegio</t>
        </is>
      </c>
      <c r="B1" s="9" t="inlineStr">
        <is>
          <t>Tipo</t>
        </is>
      </c>
      <c r="C1" s="9" t="inlineStr">
        <is>
          <t>Sector</t>
        </is>
      </c>
      <c r="D1" s="9" t="inlineStr">
        <is>
          <t>Decisor (nombre)</t>
        </is>
      </c>
      <c r="E1" s="9" t="inlineStr">
        <is>
          <t>Cargo</t>
        </is>
      </c>
      <c r="F1" s="9" t="inlineStr">
        <is>
          <t>Teléfono / correo</t>
        </is>
      </c>
      <c r="G1" s="9" t="inlineStr">
        <is>
          <t>Fecha 1er contacto con decisor</t>
        </is>
      </c>
      <c r="H1" s="9" t="inlineStr">
        <is>
          <t>Canal (llamada, visita, feria, referido)</t>
        </is>
      </c>
      <c r="I1" s="9" t="inlineStr">
        <is>
          <t>Estado</t>
        </is>
      </c>
      <c r="J1" s="9" t="inlineStr">
        <is>
          <t>Fecha reunión</t>
        </is>
      </c>
      <c r="K1" s="9" t="inlineStr">
        <is>
          <t>Oferta</t>
        </is>
      </c>
      <c r="L1" s="9" t="inlineStr">
        <is>
          <t>Cupos / estudiantes estimados</t>
        </is>
      </c>
      <c r="M1" s="9" t="inlineStr">
        <is>
          <t>Valor estimado</t>
        </is>
      </c>
      <c r="N1" s="9" t="inlineStr">
        <is>
          <t>Probabilidad</t>
        </is>
      </c>
      <c r="O1" s="9" t="inlineStr">
        <is>
          <t>Fecha estimada de cierre</t>
        </is>
      </c>
      <c r="P1" s="9" t="inlineStr">
        <is>
          <t>Valor firmado</t>
        </is>
      </c>
      <c r="Q1" s="9" t="inlineStr">
        <is>
          <t>Fecha de firma</t>
        </is>
      </c>
      <c r="R1" s="9" t="inlineStr">
        <is>
          <t>Inicial pagada (Sí/No)</t>
        </is>
      </c>
      <c r="S1" s="9" t="inlineStr">
        <is>
          <t>Fecha 1a activación</t>
        </is>
      </c>
      <c r="T1" s="9" t="inlineStr">
        <is>
          <t>Próximo paso</t>
        </is>
      </c>
      <c r="U1" s="9" t="inlineStr">
        <is>
          <t>Fecha próximo paso</t>
        </is>
      </c>
      <c r="V1" s="9" t="inlineStr">
        <is>
          <t>Valor ponderado</t>
        </is>
      </c>
    </row>
    <row r="2">
      <c r="G2" s="6" t="n"/>
      <c r="J2" s="6" t="n"/>
      <c r="M2" s="12" t="n"/>
      <c r="N2" s="8" t="n"/>
      <c r="O2" s="6" t="n"/>
      <c r="P2" s="12" t="n"/>
      <c r="Q2" s="6" t="n"/>
      <c r="S2" s="6" t="n"/>
      <c r="U2" s="6" t="n"/>
      <c r="V2" s="12">
        <f>IF(OR(M2="",N2=""),"",IF(OR(I2="Orden pagada",I2="Convenio firmado",I2="Perdida"),"",M2*N2))</f>
        <v/>
      </c>
    </row>
    <row r="3">
      <c r="G3" s="6" t="n"/>
      <c r="J3" s="6" t="n"/>
      <c r="M3" s="12" t="n"/>
      <c r="N3" s="8" t="n"/>
      <c r="O3" s="6" t="n"/>
      <c r="P3" s="12" t="n"/>
      <c r="Q3" s="6" t="n"/>
      <c r="S3" s="6" t="n"/>
      <c r="U3" s="6" t="n"/>
      <c r="V3" s="12">
        <f>IF(OR(M3="",N3=""),"",IF(OR(I3="Orden pagada",I3="Convenio firmado",I3="Perdida"),"",M3*N3))</f>
        <v/>
      </c>
    </row>
    <row r="4">
      <c r="G4" s="6" t="n"/>
      <c r="J4" s="6" t="n"/>
      <c r="M4" s="12" t="n"/>
      <c r="N4" s="8" t="n"/>
      <c r="O4" s="6" t="n"/>
      <c r="P4" s="12" t="n"/>
      <c r="Q4" s="6" t="n"/>
      <c r="S4" s="6" t="n"/>
      <c r="U4" s="6" t="n"/>
      <c r="V4" s="12">
        <f>IF(OR(M4="",N4=""),"",IF(OR(I4="Orden pagada",I4="Convenio firmado",I4="Perdida"),"",M4*N4))</f>
        <v/>
      </c>
    </row>
    <row r="5">
      <c r="G5" s="6" t="n"/>
      <c r="J5" s="6" t="n"/>
      <c r="M5" s="12" t="n"/>
      <c r="N5" s="8" t="n"/>
      <c r="O5" s="6" t="n"/>
      <c r="P5" s="12" t="n"/>
      <c r="Q5" s="6" t="n"/>
      <c r="S5" s="6" t="n"/>
      <c r="U5" s="6" t="n"/>
      <c r="V5" s="12">
        <f>IF(OR(M5="",N5=""),"",IF(OR(I5="Orden pagada",I5="Convenio firmado",I5="Perdida"),"",M5*N5))</f>
        <v/>
      </c>
    </row>
    <row r="6">
      <c r="G6" s="6" t="n"/>
      <c r="J6" s="6" t="n"/>
      <c r="M6" s="12" t="n"/>
      <c r="N6" s="8" t="n"/>
      <c r="O6" s="6" t="n"/>
      <c r="P6" s="12" t="n"/>
      <c r="Q6" s="6" t="n"/>
      <c r="S6" s="6" t="n"/>
      <c r="U6" s="6" t="n"/>
      <c r="V6" s="12">
        <f>IF(OR(M6="",N6=""),"",IF(OR(I6="Orden pagada",I6="Convenio firmado",I6="Perdida"),"",M6*N6))</f>
        <v/>
      </c>
    </row>
    <row r="7">
      <c r="G7" s="6" t="n"/>
      <c r="J7" s="6" t="n"/>
      <c r="M7" s="12" t="n"/>
      <c r="N7" s="8" t="n"/>
      <c r="O7" s="6" t="n"/>
      <c r="P7" s="12" t="n"/>
      <c r="Q7" s="6" t="n"/>
      <c r="S7" s="6" t="n"/>
      <c r="U7" s="6" t="n"/>
      <c r="V7" s="12">
        <f>IF(OR(M7="",N7=""),"",IF(OR(I7="Orden pagada",I7="Convenio firmado",I7="Perdida"),"",M7*N7))</f>
        <v/>
      </c>
    </row>
    <row r="8">
      <c r="G8" s="6" t="n"/>
      <c r="J8" s="6" t="n"/>
      <c r="M8" s="12" t="n"/>
      <c r="N8" s="8" t="n"/>
      <c r="O8" s="6" t="n"/>
      <c r="P8" s="12" t="n"/>
      <c r="Q8" s="6" t="n"/>
      <c r="S8" s="6" t="n"/>
      <c r="U8" s="6" t="n"/>
      <c r="V8" s="12">
        <f>IF(OR(M8="",N8=""),"",IF(OR(I8="Orden pagada",I8="Convenio firmado",I8="Perdida"),"",M8*N8))</f>
        <v/>
      </c>
    </row>
    <row r="9">
      <c r="G9" s="6" t="n"/>
      <c r="J9" s="6" t="n"/>
      <c r="M9" s="12" t="n"/>
      <c r="N9" s="8" t="n"/>
      <c r="O9" s="6" t="n"/>
      <c r="P9" s="12" t="n"/>
      <c r="Q9" s="6" t="n"/>
      <c r="S9" s="6" t="n"/>
      <c r="U9" s="6" t="n"/>
      <c r="V9" s="12">
        <f>IF(OR(M9="",N9=""),"",IF(OR(I9="Orden pagada",I9="Convenio firmado",I9="Perdida"),"",M9*N9))</f>
        <v/>
      </c>
    </row>
    <row r="10">
      <c r="G10" s="6" t="n"/>
      <c r="J10" s="6" t="n"/>
      <c r="M10" s="12" t="n"/>
      <c r="N10" s="8" t="n"/>
      <c r="O10" s="6" t="n"/>
      <c r="P10" s="12" t="n"/>
      <c r="Q10" s="6" t="n"/>
      <c r="S10" s="6" t="n"/>
      <c r="U10" s="6" t="n"/>
      <c r="V10" s="12">
        <f>IF(OR(M10="",N10=""),"",IF(OR(I10="Orden pagada",I10="Convenio firmado",I10="Perdida"),"",M10*N10))</f>
        <v/>
      </c>
    </row>
    <row r="11">
      <c r="G11" s="6" t="n"/>
      <c r="J11" s="6" t="n"/>
      <c r="M11" s="12" t="n"/>
      <c r="N11" s="8" t="n"/>
      <c r="O11" s="6" t="n"/>
      <c r="P11" s="12" t="n"/>
      <c r="Q11" s="6" t="n"/>
      <c r="S11" s="6" t="n"/>
      <c r="U11" s="6" t="n"/>
      <c r="V11" s="12">
        <f>IF(OR(M11="",N11=""),"",IF(OR(I11="Orden pagada",I11="Convenio firmado",I11="Perdida"),"",M11*N11))</f>
        <v/>
      </c>
    </row>
    <row r="12">
      <c r="G12" s="6" t="n"/>
      <c r="J12" s="6" t="n"/>
      <c r="M12" s="12" t="n"/>
      <c r="N12" s="8" t="n"/>
      <c r="O12" s="6" t="n"/>
      <c r="P12" s="12" t="n"/>
      <c r="Q12" s="6" t="n"/>
      <c r="S12" s="6" t="n"/>
      <c r="U12" s="6" t="n"/>
      <c r="V12" s="12">
        <f>IF(OR(M12="",N12=""),"",IF(OR(I12="Orden pagada",I12="Convenio firmado",I12="Perdida"),"",M12*N12))</f>
        <v/>
      </c>
    </row>
    <row r="13">
      <c r="G13" s="6" t="n"/>
      <c r="J13" s="6" t="n"/>
      <c r="M13" s="12" t="n"/>
      <c r="N13" s="8" t="n"/>
      <c r="O13" s="6" t="n"/>
      <c r="P13" s="12" t="n"/>
      <c r="Q13" s="6" t="n"/>
      <c r="S13" s="6" t="n"/>
      <c r="U13" s="6" t="n"/>
      <c r="V13" s="12">
        <f>IF(OR(M13="",N13=""),"",IF(OR(I13="Orden pagada",I13="Convenio firmado",I13="Perdida"),"",M13*N13))</f>
        <v/>
      </c>
    </row>
    <row r="14">
      <c r="G14" s="6" t="n"/>
      <c r="J14" s="6" t="n"/>
      <c r="M14" s="12" t="n"/>
      <c r="N14" s="8" t="n"/>
      <c r="O14" s="6" t="n"/>
      <c r="P14" s="12" t="n"/>
      <c r="Q14" s="6" t="n"/>
      <c r="S14" s="6" t="n"/>
      <c r="U14" s="6" t="n"/>
      <c r="V14" s="12">
        <f>IF(OR(M14="",N14=""),"",IF(OR(I14="Orden pagada",I14="Convenio firmado",I14="Perdida"),"",M14*N14))</f>
        <v/>
      </c>
    </row>
    <row r="15">
      <c r="G15" s="6" t="n"/>
      <c r="J15" s="6" t="n"/>
      <c r="M15" s="12" t="n"/>
      <c r="N15" s="8" t="n"/>
      <c r="O15" s="6" t="n"/>
      <c r="P15" s="12" t="n"/>
      <c r="Q15" s="6" t="n"/>
      <c r="S15" s="6" t="n"/>
      <c r="U15" s="6" t="n"/>
      <c r="V15" s="12">
        <f>IF(OR(M15="",N15=""),"",IF(OR(I15="Orden pagada",I15="Convenio firmado",I15="Perdida"),"",M15*N15))</f>
        <v/>
      </c>
    </row>
    <row r="16">
      <c r="G16" s="6" t="n"/>
      <c r="J16" s="6" t="n"/>
      <c r="M16" s="12" t="n"/>
      <c r="N16" s="8" t="n"/>
      <c r="O16" s="6" t="n"/>
      <c r="P16" s="12" t="n"/>
      <c r="Q16" s="6" t="n"/>
      <c r="S16" s="6" t="n"/>
      <c r="U16" s="6" t="n"/>
      <c r="V16" s="12">
        <f>IF(OR(M16="",N16=""),"",IF(OR(I16="Orden pagada",I16="Convenio firmado",I16="Perdida"),"",M16*N16))</f>
        <v/>
      </c>
    </row>
    <row r="17">
      <c r="G17" s="6" t="n"/>
      <c r="J17" s="6" t="n"/>
      <c r="M17" s="12" t="n"/>
      <c r="N17" s="8" t="n"/>
      <c r="O17" s="6" t="n"/>
      <c r="P17" s="12" t="n"/>
      <c r="Q17" s="6" t="n"/>
      <c r="S17" s="6" t="n"/>
      <c r="U17" s="6" t="n"/>
      <c r="V17" s="12">
        <f>IF(OR(M17="",N17=""),"",IF(OR(I17="Orden pagada",I17="Convenio firmado",I17="Perdida"),"",M17*N17))</f>
        <v/>
      </c>
    </row>
    <row r="18">
      <c r="G18" s="6" t="n"/>
      <c r="J18" s="6" t="n"/>
      <c r="M18" s="12" t="n"/>
      <c r="N18" s="8" t="n"/>
      <c r="O18" s="6" t="n"/>
      <c r="P18" s="12" t="n"/>
      <c r="Q18" s="6" t="n"/>
      <c r="S18" s="6" t="n"/>
      <c r="U18" s="6" t="n"/>
      <c r="V18" s="12">
        <f>IF(OR(M18="",N18=""),"",IF(OR(I18="Orden pagada",I18="Convenio firmado",I18="Perdida"),"",M18*N18))</f>
        <v/>
      </c>
    </row>
    <row r="19">
      <c r="G19" s="6" t="n"/>
      <c r="J19" s="6" t="n"/>
      <c r="M19" s="12" t="n"/>
      <c r="N19" s="8" t="n"/>
      <c r="O19" s="6" t="n"/>
      <c r="P19" s="12" t="n"/>
      <c r="Q19" s="6" t="n"/>
      <c r="S19" s="6" t="n"/>
      <c r="U19" s="6" t="n"/>
      <c r="V19" s="12">
        <f>IF(OR(M19="",N19=""),"",IF(OR(I19="Orden pagada",I19="Convenio firmado",I19="Perdida"),"",M19*N19))</f>
        <v/>
      </c>
    </row>
    <row r="20">
      <c r="G20" s="6" t="n"/>
      <c r="J20" s="6" t="n"/>
      <c r="M20" s="12" t="n"/>
      <c r="N20" s="8" t="n"/>
      <c r="O20" s="6" t="n"/>
      <c r="P20" s="12" t="n"/>
      <c r="Q20" s="6" t="n"/>
      <c r="S20" s="6" t="n"/>
      <c r="U20" s="6" t="n"/>
      <c r="V20" s="12">
        <f>IF(OR(M20="",N20=""),"",IF(OR(I20="Orden pagada",I20="Convenio firmado",I20="Perdida"),"",M20*N20))</f>
        <v/>
      </c>
    </row>
    <row r="21">
      <c r="G21" s="6" t="n"/>
      <c r="J21" s="6" t="n"/>
      <c r="M21" s="12" t="n"/>
      <c r="N21" s="8" t="n"/>
      <c r="O21" s="6" t="n"/>
      <c r="P21" s="12" t="n"/>
      <c r="Q21" s="6" t="n"/>
      <c r="S21" s="6" t="n"/>
      <c r="U21" s="6" t="n"/>
      <c r="V21" s="12">
        <f>IF(OR(M21="",N21=""),"",IF(OR(I21="Orden pagada",I21="Convenio firmado",I21="Perdida"),"",M21*N21))</f>
        <v/>
      </c>
    </row>
    <row r="22">
      <c r="G22" s="6" t="n"/>
      <c r="J22" s="6" t="n"/>
      <c r="M22" s="12" t="n"/>
      <c r="N22" s="8" t="n"/>
      <c r="O22" s="6" t="n"/>
      <c r="P22" s="12" t="n"/>
      <c r="Q22" s="6" t="n"/>
      <c r="S22" s="6" t="n"/>
      <c r="U22" s="6" t="n"/>
      <c r="V22" s="12">
        <f>IF(OR(M22="",N22=""),"",IF(OR(I22="Orden pagada",I22="Convenio firmado",I22="Perdida"),"",M22*N22))</f>
        <v/>
      </c>
    </row>
    <row r="23">
      <c r="G23" s="6" t="n"/>
      <c r="J23" s="6" t="n"/>
      <c r="M23" s="12" t="n"/>
      <c r="N23" s="8" t="n"/>
      <c r="O23" s="6" t="n"/>
      <c r="P23" s="12" t="n"/>
      <c r="Q23" s="6" t="n"/>
      <c r="S23" s="6" t="n"/>
      <c r="U23" s="6" t="n"/>
      <c r="V23" s="12">
        <f>IF(OR(M23="",N23=""),"",IF(OR(I23="Orden pagada",I23="Convenio firmado",I23="Perdida"),"",M23*N23))</f>
        <v/>
      </c>
    </row>
    <row r="24">
      <c r="G24" s="6" t="n"/>
      <c r="J24" s="6" t="n"/>
      <c r="M24" s="12" t="n"/>
      <c r="N24" s="8" t="n"/>
      <c r="O24" s="6" t="n"/>
      <c r="P24" s="12" t="n"/>
      <c r="Q24" s="6" t="n"/>
      <c r="S24" s="6" t="n"/>
      <c r="U24" s="6" t="n"/>
      <c r="V24" s="12">
        <f>IF(OR(M24="",N24=""),"",IF(OR(I24="Orden pagada",I24="Convenio firmado",I24="Perdida"),"",M24*N24))</f>
        <v/>
      </c>
    </row>
    <row r="25">
      <c r="G25" s="6" t="n"/>
      <c r="J25" s="6" t="n"/>
      <c r="M25" s="12" t="n"/>
      <c r="N25" s="8" t="n"/>
      <c r="O25" s="6" t="n"/>
      <c r="P25" s="12" t="n"/>
      <c r="Q25" s="6" t="n"/>
      <c r="S25" s="6" t="n"/>
      <c r="U25" s="6" t="n"/>
      <c r="V25" s="12">
        <f>IF(OR(M25="",N25=""),"",IF(OR(I25="Orden pagada",I25="Convenio firmado",I25="Perdida"),"",M25*N25))</f>
        <v/>
      </c>
    </row>
    <row r="26">
      <c r="G26" s="6" t="n"/>
      <c r="J26" s="6" t="n"/>
      <c r="M26" s="12" t="n"/>
      <c r="N26" s="8" t="n"/>
      <c r="O26" s="6" t="n"/>
      <c r="P26" s="12" t="n"/>
      <c r="Q26" s="6" t="n"/>
      <c r="S26" s="6" t="n"/>
      <c r="U26" s="6" t="n"/>
      <c r="V26" s="12">
        <f>IF(OR(M26="",N26=""),"",IF(OR(I26="Orden pagada",I26="Convenio firmado",I26="Perdida"),"",M26*N26))</f>
        <v/>
      </c>
    </row>
    <row r="27">
      <c r="G27" s="6" t="n"/>
      <c r="J27" s="6" t="n"/>
      <c r="M27" s="12" t="n"/>
      <c r="N27" s="8" t="n"/>
      <c r="O27" s="6" t="n"/>
      <c r="P27" s="12" t="n"/>
      <c r="Q27" s="6" t="n"/>
      <c r="S27" s="6" t="n"/>
      <c r="U27" s="6" t="n"/>
      <c r="V27" s="12">
        <f>IF(OR(M27="",N27=""),"",IF(OR(I27="Orden pagada",I27="Convenio firmado",I27="Perdida"),"",M27*N27))</f>
        <v/>
      </c>
    </row>
    <row r="28">
      <c r="G28" s="6" t="n"/>
      <c r="J28" s="6" t="n"/>
      <c r="M28" s="12" t="n"/>
      <c r="N28" s="8" t="n"/>
      <c r="O28" s="6" t="n"/>
      <c r="P28" s="12" t="n"/>
      <c r="Q28" s="6" t="n"/>
      <c r="S28" s="6" t="n"/>
      <c r="U28" s="6" t="n"/>
      <c r="V28" s="12">
        <f>IF(OR(M28="",N28=""),"",IF(OR(I28="Orden pagada",I28="Convenio firmado",I28="Perdida"),"",M28*N28))</f>
        <v/>
      </c>
    </row>
    <row r="29">
      <c r="G29" s="6" t="n"/>
      <c r="J29" s="6" t="n"/>
      <c r="M29" s="12" t="n"/>
      <c r="N29" s="8" t="n"/>
      <c r="O29" s="6" t="n"/>
      <c r="P29" s="12" t="n"/>
      <c r="Q29" s="6" t="n"/>
      <c r="S29" s="6" t="n"/>
      <c r="U29" s="6" t="n"/>
      <c r="V29" s="12">
        <f>IF(OR(M29="",N29=""),"",IF(OR(I29="Orden pagada",I29="Convenio firmado",I29="Perdida"),"",M29*N29))</f>
        <v/>
      </c>
    </row>
    <row r="30">
      <c r="G30" s="6" t="n"/>
      <c r="J30" s="6" t="n"/>
      <c r="M30" s="12" t="n"/>
      <c r="N30" s="8" t="n"/>
      <c r="O30" s="6" t="n"/>
      <c r="P30" s="12" t="n"/>
      <c r="Q30" s="6" t="n"/>
      <c r="S30" s="6" t="n"/>
      <c r="U30" s="6" t="n"/>
      <c r="V30" s="12">
        <f>IF(OR(M30="",N30=""),"",IF(OR(I30="Orden pagada",I30="Convenio firmado",I30="Perdida"),"",M30*N30))</f>
        <v/>
      </c>
    </row>
    <row r="31">
      <c r="G31" s="6" t="n"/>
      <c r="J31" s="6" t="n"/>
      <c r="M31" s="12" t="n"/>
      <c r="N31" s="8" t="n"/>
      <c r="O31" s="6" t="n"/>
      <c r="P31" s="12" t="n"/>
      <c r="Q31" s="6" t="n"/>
      <c r="S31" s="6" t="n"/>
      <c r="U31" s="6" t="n"/>
      <c r="V31" s="12">
        <f>IF(OR(M31="",N31=""),"",IF(OR(I31="Orden pagada",I31="Convenio firmado",I31="Perdida"),"",M31*N31))</f>
        <v/>
      </c>
    </row>
    <row r="32">
      <c r="G32" s="6" t="n"/>
      <c r="J32" s="6" t="n"/>
      <c r="M32" s="12" t="n"/>
      <c r="N32" s="8" t="n"/>
      <c r="O32" s="6" t="n"/>
      <c r="P32" s="12" t="n"/>
      <c r="Q32" s="6" t="n"/>
      <c r="S32" s="6" t="n"/>
      <c r="U32" s="6" t="n"/>
      <c r="V32" s="12">
        <f>IF(OR(M32="",N32=""),"",IF(OR(I32="Orden pagada",I32="Convenio firmado",I32="Perdida"),"",M32*N32))</f>
        <v/>
      </c>
    </row>
    <row r="33">
      <c r="G33" s="6" t="n"/>
      <c r="J33" s="6" t="n"/>
      <c r="M33" s="12" t="n"/>
      <c r="N33" s="8" t="n"/>
      <c r="O33" s="6" t="n"/>
      <c r="P33" s="12" t="n"/>
      <c r="Q33" s="6" t="n"/>
      <c r="S33" s="6" t="n"/>
      <c r="U33" s="6" t="n"/>
      <c r="V33" s="12">
        <f>IF(OR(M33="",N33=""),"",IF(OR(I33="Orden pagada",I33="Convenio firmado",I33="Perdida"),"",M33*N33))</f>
        <v/>
      </c>
    </row>
    <row r="34">
      <c r="G34" s="6" t="n"/>
      <c r="J34" s="6" t="n"/>
      <c r="M34" s="12" t="n"/>
      <c r="N34" s="8" t="n"/>
      <c r="O34" s="6" t="n"/>
      <c r="P34" s="12" t="n"/>
      <c r="Q34" s="6" t="n"/>
      <c r="S34" s="6" t="n"/>
      <c r="U34" s="6" t="n"/>
      <c r="V34" s="12">
        <f>IF(OR(M34="",N34=""),"",IF(OR(I34="Orden pagada",I34="Convenio firmado",I34="Perdida"),"",M34*N34))</f>
        <v/>
      </c>
    </row>
    <row r="35">
      <c r="G35" s="6" t="n"/>
      <c r="J35" s="6" t="n"/>
      <c r="M35" s="12" t="n"/>
      <c r="N35" s="8" t="n"/>
      <c r="O35" s="6" t="n"/>
      <c r="P35" s="12" t="n"/>
      <c r="Q35" s="6" t="n"/>
      <c r="S35" s="6" t="n"/>
      <c r="U35" s="6" t="n"/>
      <c r="V35" s="12">
        <f>IF(OR(M35="",N35=""),"",IF(OR(I35="Orden pagada",I35="Convenio firmado",I35="Perdida"),"",M35*N35))</f>
        <v/>
      </c>
    </row>
    <row r="36">
      <c r="G36" s="6" t="n"/>
      <c r="J36" s="6" t="n"/>
      <c r="M36" s="12" t="n"/>
      <c r="N36" s="8" t="n"/>
      <c r="O36" s="6" t="n"/>
      <c r="P36" s="12" t="n"/>
      <c r="Q36" s="6" t="n"/>
      <c r="S36" s="6" t="n"/>
      <c r="U36" s="6" t="n"/>
      <c r="V36" s="12">
        <f>IF(OR(M36="",N36=""),"",IF(OR(I36="Orden pagada",I36="Convenio firmado",I36="Perdida"),"",M36*N36))</f>
        <v/>
      </c>
    </row>
    <row r="37">
      <c r="G37" s="6" t="n"/>
      <c r="J37" s="6" t="n"/>
      <c r="M37" s="12" t="n"/>
      <c r="N37" s="8" t="n"/>
      <c r="O37" s="6" t="n"/>
      <c r="P37" s="12" t="n"/>
      <c r="Q37" s="6" t="n"/>
      <c r="S37" s="6" t="n"/>
      <c r="U37" s="6" t="n"/>
      <c r="V37" s="12">
        <f>IF(OR(M37="",N37=""),"",IF(OR(I37="Orden pagada",I37="Convenio firmado",I37="Perdida"),"",M37*N37))</f>
        <v/>
      </c>
    </row>
    <row r="38">
      <c r="G38" s="6" t="n"/>
      <c r="J38" s="6" t="n"/>
      <c r="M38" s="12" t="n"/>
      <c r="N38" s="8" t="n"/>
      <c r="O38" s="6" t="n"/>
      <c r="P38" s="12" t="n"/>
      <c r="Q38" s="6" t="n"/>
      <c r="S38" s="6" t="n"/>
      <c r="U38" s="6" t="n"/>
      <c r="V38" s="12">
        <f>IF(OR(M38="",N38=""),"",IF(OR(I38="Orden pagada",I38="Convenio firmado",I38="Perdida"),"",M38*N38))</f>
        <v/>
      </c>
    </row>
    <row r="39">
      <c r="G39" s="6" t="n"/>
      <c r="J39" s="6" t="n"/>
      <c r="M39" s="12" t="n"/>
      <c r="N39" s="8" t="n"/>
      <c r="O39" s="6" t="n"/>
      <c r="P39" s="12" t="n"/>
      <c r="Q39" s="6" t="n"/>
      <c r="S39" s="6" t="n"/>
      <c r="U39" s="6" t="n"/>
      <c r="V39" s="12">
        <f>IF(OR(M39="",N39=""),"",IF(OR(I39="Orden pagada",I39="Convenio firmado",I39="Perdida"),"",M39*N39))</f>
        <v/>
      </c>
    </row>
    <row r="40">
      <c r="G40" s="6" t="n"/>
      <c r="J40" s="6" t="n"/>
      <c r="M40" s="12" t="n"/>
      <c r="N40" s="8" t="n"/>
      <c r="O40" s="6" t="n"/>
      <c r="P40" s="12" t="n"/>
      <c r="Q40" s="6" t="n"/>
      <c r="S40" s="6" t="n"/>
      <c r="U40" s="6" t="n"/>
      <c r="V40" s="12">
        <f>IF(OR(M40="",N40=""),"",IF(OR(I40="Orden pagada",I40="Convenio firmado",I40="Perdida"),"",M40*N40))</f>
        <v/>
      </c>
    </row>
    <row r="41">
      <c r="G41" s="6" t="n"/>
      <c r="J41" s="6" t="n"/>
      <c r="M41" s="12" t="n"/>
      <c r="N41" s="8" t="n"/>
      <c r="O41" s="6" t="n"/>
      <c r="P41" s="12" t="n"/>
      <c r="Q41" s="6" t="n"/>
      <c r="S41" s="6" t="n"/>
      <c r="U41" s="6" t="n"/>
      <c r="V41" s="12">
        <f>IF(OR(M41="",N41=""),"",IF(OR(I41="Orden pagada",I41="Convenio firmado",I41="Perdida"),"",M41*N41))</f>
        <v/>
      </c>
    </row>
    <row r="42">
      <c r="G42" s="6" t="n"/>
      <c r="J42" s="6" t="n"/>
      <c r="M42" s="12" t="n"/>
      <c r="N42" s="8" t="n"/>
      <c r="O42" s="6" t="n"/>
      <c r="P42" s="12" t="n"/>
      <c r="Q42" s="6" t="n"/>
      <c r="S42" s="6" t="n"/>
      <c r="U42" s="6" t="n"/>
      <c r="V42" s="12">
        <f>IF(OR(M42="",N42=""),"",IF(OR(I42="Orden pagada",I42="Convenio firmado",I42="Perdida"),"",M42*N42))</f>
        <v/>
      </c>
    </row>
    <row r="43">
      <c r="G43" s="6" t="n"/>
      <c r="J43" s="6" t="n"/>
      <c r="M43" s="12" t="n"/>
      <c r="N43" s="8" t="n"/>
      <c r="O43" s="6" t="n"/>
      <c r="P43" s="12" t="n"/>
      <c r="Q43" s="6" t="n"/>
      <c r="S43" s="6" t="n"/>
      <c r="U43" s="6" t="n"/>
      <c r="V43" s="12">
        <f>IF(OR(M43="",N43=""),"",IF(OR(I43="Orden pagada",I43="Convenio firmado",I43="Perdida"),"",M43*N43))</f>
        <v/>
      </c>
    </row>
    <row r="44">
      <c r="G44" s="6" t="n"/>
      <c r="J44" s="6" t="n"/>
      <c r="M44" s="12" t="n"/>
      <c r="N44" s="8" t="n"/>
      <c r="O44" s="6" t="n"/>
      <c r="P44" s="12" t="n"/>
      <c r="Q44" s="6" t="n"/>
      <c r="S44" s="6" t="n"/>
      <c r="U44" s="6" t="n"/>
      <c r="V44" s="12">
        <f>IF(OR(M44="",N44=""),"",IF(OR(I44="Orden pagada",I44="Convenio firmado",I44="Perdida"),"",M44*N44))</f>
        <v/>
      </c>
    </row>
    <row r="45">
      <c r="G45" s="6" t="n"/>
      <c r="J45" s="6" t="n"/>
      <c r="M45" s="12" t="n"/>
      <c r="N45" s="8" t="n"/>
      <c r="O45" s="6" t="n"/>
      <c r="P45" s="12" t="n"/>
      <c r="Q45" s="6" t="n"/>
      <c r="S45" s="6" t="n"/>
      <c r="U45" s="6" t="n"/>
      <c r="V45" s="12">
        <f>IF(OR(M45="",N45=""),"",IF(OR(I45="Orden pagada",I45="Convenio firmado",I45="Perdida"),"",M45*N45))</f>
        <v/>
      </c>
    </row>
    <row r="46">
      <c r="G46" s="6" t="n"/>
      <c r="J46" s="6" t="n"/>
      <c r="M46" s="12" t="n"/>
      <c r="N46" s="8" t="n"/>
      <c r="O46" s="6" t="n"/>
      <c r="P46" s="12" t="n"/>
      <c r="Q46" s="6" t="n"/>
      <c r="S46" s="6" t="n"/>
      <c r="U46" s="6" t="n"/>
      <c r="V46" s="12">
        <f>IF(OR(M46="",N46=""),"",IF(OR(I46="Orden pagada",I46="Convenio firmado",I46="Perdida"),"",M46*N46))</f>
        <v/>
      </c>
    </row>
    <row r="47">
      <c r="G47" s="6" t="n"/>
      <c r="J47" s="6" t="n"/>
      <c r="M47" s="12" t="n"/>
      <c r="N47" s="8" t="n"/>
      <c r="O47" s="6" t="n"/>
      <c r="P47" s="12" t="n"/>
      <c r="Q47" s="6" t="n"/>
      <c r="S47" s="6" t="n"/>
      <c r="U47" s="6" t="n"/>
      <c r="V47" s="12">
        <f>IF(OR(M47="",N47=""),"",IF(OR(I47="Orden pagada",I47="Convenio firmado",I47="Perdida"),"",M47*N47))</f>
        <v/>
      </c>
    </row>
    <row r="48">
      <c r="G48" s="6" t="n"/>
      <c r="J48" s="6" t="n"/>
      <c r="M48" s="12" t="n"/>
      <c r="N48" s="8" t="n"/>
      <c r="O48" s="6" t="n"/>
      <c r="P48" s="12" t="n"/>
      <c r="Q48" s="6" t="n"/>
      <c r="S48" s="6" t="n"/>
      <c r="U48" s="6" t="n"/>
      <c r="V48" s="12">
        <f>IF(OR(M48="",N48=""),"",IF(OR(I48="Orden pagada",I48="Convenio firmado",I48="Perdida"),"",M48*N48))</f>
        <v/>
      </c>
    </row>
    <row r="49">
      <c r="G49" s="6" t="n"/>
      <c r="J49" s="6" t="n"/>
      <c r="M49" s="12" t="n"/>
      <c r="N49" s="8" t="n"/>
      <c r="O49" s="6" t="n"/>
      <c r="P49" s="12" t="n"/>
      <c r="Q49" s="6" t="n"/>
      <c r="S49" s="6" t="n"/>
      <c r="U49" s="6" t="n"/>
      <c r="V49" s="12">
        <f>IF(OR(M49="",N49=""),"",IF(OR(I49="Orden pagada",I49="Convenio firmado",I49="Perdida"),"",M49*N49))</f>
        <v/>
      </c>
    </row>
    <row r="50">
      <c r="G50" s="6" t="n"/>
      <c r="J50" s="6" t="n"/>
      <c r="M50" s="12" t="n"/>
      <c r="N50" s="8" t="n"/>
      <c r="O50" s="6" t="n"/>
      <c r="P50" s="12" t="n"/>
      <c r="Q50" s="6" t="n"/>
      <c r="S50" s="6" t="n"/>
      <c r="U50" s="6" t="n"/>
      <c r="V50" s="12">
        <f>IF(OR(M50="",N50=""),"",IF(OR(I50="Orden pagada",I50="Convenio firmado",I50="Perdida"),"",M50*N50))</f>
        <v/>
      </c>
    </row>
    <row r="51">
      <c r="G51" s="6" t="n"/>
      <c r="J51" s="6" t="n"/>
      <c r="M51" s="12" t="n"/>
      <c r="N51" s="8" t="n"/>
      <c r="O51" s="6" t="n"/>
      <c r="P51" s="12" t="n"/>
      <c r="Q51" s="6" t="n"/>
      <c r="S51" s="6" t="n"/>
      <c r="U51" s="6" t="n"/>
      <c r="V51" s="12">
        <f>IF(OR(M51="",N51=""),"",IF(OR(I51="Orden pagada",I51="Convenio firmado",I51="Perdida"),"",M51*N51))</f>
        <v/>
      </c>
    </row>
    <row r="52">
      <c r="G52" s="6" t="n"/>
      <c r="J52" s="6" t="n"/>
      <c r="M52" s="12" t="n"/>
      <c r="N52" s="8" t="n"/>
      <c r="O52" s="6" t="n"/>
      <c r="P52" s="12" t="n"/>
      <c r="Q52" s="6" t="n"/>
      <c r="S52" s="6" t="n"/>
      <c r="U52" s="6" t="n"/>
      <c r="V52" s="12">
        <f>IF(OR(M52="",N52=""),"",IF(OR(I52="Orden pagada",I52="Convenio firmado",I52="Perdida"),"",M52*N52))</f>
        <v/>
      </c>
    </row>
    <row r="53">
      <c r="G53" s="6" t="n"/>
      <c r="J53" s="6" t="n"/>
      <c r="M53" s="12" t="n"/>
      <c r="N53" s="8" t="n"/>
      <c r="O53" s="6" t="n"/>
      <c r="P53" s="12" t="n"/>
      <c r="Q53" s="6" t="n"/>
      <c r="S53" s="6" t="n"/>
      <c r="U53" s="6" t="n"/>
      <c r="V53" s="12">
        <f>IF(OR(M53="",N53=""),"",IF(OR(I53="Orden pagada",I53="Convenio firmado",I53="Perdida"),"",M53*N53))</f>
        <v/>
      </c>
    </row>
    <row r="54">
      <c r="G54" s="6" t="n"/>
      <c r="J54" s="6" t="n"/>
      <c r="M54" s="12" t="n"/>
      <c r="N54" s="8" t="n"/>
      <c r="O54" s="6" t="n"/>
      <c r="P54" s="12" t="n"/>
      <c r="Q54" s="6" t="n"/>
      <c r="S54" s="6" t="n"/>
      <c r="U54" s="6" t="n"/>
      <c r="V54" s="12">
        <f>IF(OR(M54="",N54=""),"",IF(OR(I54="Orden pagada",I54="Convenio firmado",I54="Perdida"),"",M54*N54))</f>
        <v/>
      </c>
    </row>
    <row r="55">
      <c r="G55" s="6" t="n"/>
      <c r="J55" s="6" t="n"/>
      <c r="M55" s="12" t="n"/>
      <c r="N55" s="8" t="n"/>
      <c r="O55" s="6" t="n"/>
      <c r="P55" s="12" t="n"/>
      <c r="Q55" s="6" t="n"/>
      <c r="S55" s="6" t="n"/>
      <c r="U55" s="6" t="n"/>
      <c r="V55" s="12">
        <f>IF(OR(M55="",N55=""),"",IF(OR(I55="Orden pagada",I55="Convenio firmado",I55="Perdida"),"",M55*N55))</f>
        <v/>
      </c>
    </row>
    <row r="56">
      <c r="G56" s="6" t="n"/>
      <c r="J56" s="6" t="n"/>
      <c r="M56" s="12" t="n"/>
      <c r="N56" s="8" t="n"/>
      <c r="O56" s="6" t="n"/>
      <c r="P56" s="12" t="n"/>
      <c r="Q56" s="6" t="n"/>
      <c r="S56" s="6" t="n"/>
      <c r="U56" s="6" t="n"/>
      <c r="V56" s="12">
        <f>IF(OR(M56="",N56=""),"",IF(OR(I56="Orden pagada",I56="Convenio firmado",I56="Perdida"),"",M56*N56))</f>
        <v/>
      </c>
    </row>
    <row r="57">
      <c r="G57" s="6" t="n"/>
      <c r="J57" s="6" t="n"/>
      <c r="M57" s="12" t="n"/>
      <c r="N57" s="8" t="n"/>
      <c r="O57" s="6" t="n"/>
      <c r="P57" s="12" t="n"/>
      <c r="Q57" s="6" t="n"/>
      <c r="S57" s="6" t="n"/>
      <c r="U57" s="6" t="n"/>
      <c r="V57" s="12">
        <f>IF(OR(M57="",N57=""),"",IF(OR(I57="Orden pagada",I57="Convenio firmado",I57="Perdida"),"",M57*N57))</f>
        <v/>
      </c>
    </row>
    <row r="58">
      <c r="G58" s="6" t="n"/>
      <c r="J58" s="6" t="n"/>
      <c r="M58" s="12" t="n"/>
      <c r="N58" s="8" t="n"/>
      <c r="O58" s="6" t="n"/>
      <c r="P58" s="12" t="n"/>
      <c r="Q58" s="6" t="n"/>
      <c r="S58" s="6" t="n"/>
      <c r="U58" s="6" t="n"/>
      <c r="V58" s="12">
        <f>IF(OR(M58="",N58=""),"",IF(OR(I58="Orden pagada",I58="Convenio firmado",I58="Perdida"),"",M58*N58))</f>
        <v/>
      </c>
    </row>
    <row r="59">
      <c r="G59" s="6" t="n"/>
      <c r="J59" s="6" t="n"/>
      <c r="M59" s="12" t="n"/>
      <c r="N59" s="8" t="n"/>
      <c r="O59" s="6" t="n"/>
      <c r="P59" s="12" t="n"/>
      <c r="Q59" s="6" t="n"/>
      <c r="S59" s="6" t="n"/>
      <c r="U59" s="6" t="n"/>
      <c r="V59" s="12">
        <f>IF(OR(M59="",N59=""),"",IF(OR(I59="Orden pagada",I59="Convenio firmado",I59="Perdida"),"",M59*N59))</f>
        <v/>
      </c>
    </row>
    <row r="60">
      <c r="G60" s="6" t="n"/>
      <c r="J60" s="6" t="n"/>
      <c r="M60" s="12" t="n"/>
      <c r="N60" s="8" t="n"/>
      <c r="O60" s="6" t="n"/>
      <c r="P60" s="12" t="n"/>
      <c r="Q60" s="6" t="n"/>
      <c r="S60" s="6" t="n"/>
      <c r="U60" s="6" t="n"/>
      <c r="V60" s="12">
        <f>IF(OR(M60="",N60=""),"",IF(OR(I60="Orden pagada",I60="Convenio firmado",I60="Perdida"),"",M60*N60))</f>
        <v/>
      </c>
    </row>
    <row r="61">
      <c r="G61" s="6" t="n"/>
      <c r="J61" s="6" t="n"/>
      <c r="M61" s="12" t="n"/>
      <c r="N61" s="8" t="n"/>
      <c r="O61" s="6" t="n"/>
      <c r="P61" s="12" t="n"/>
      <c r="Q61" s="6" t="n"/>
      <c r="S61" s="6" t="n"/>
      <c r="U61" s="6" t="n"/>
      <c r="V61" s="12">
        <f>IF(OR(M61="",N61=""),"",IF(OR(I61="Orden pagada",I61="Convenio firmado",I61="Perdida"),"",M61*N61))</f>
        <v/>
      </c>
    </row>
    <row r="62">
      <c r="G62" s="6" t="n"/>
      <c r="J62" s="6" t="n"/>
      <c r="M62" s="12" t="n"/>
      <c r="N62" s="8" t="n"/>
      <c r="O62" s="6" t="n"/>
      <c r="P62" s="12" t="n"/>
      <c r="Q62" s="6" t="n"/>
      <c r="S62" s="6" t="n"/>
      <c r="U62" s="6" t="n"/>
      <c r="V62" s="12">
        <f>IF(OR(M62="",N62=""),"",IF(OR(I62="Orden pagada",I62="Convenio firmado",I62="Perdida"),"",M62*N62))</f>
        <v/>
      </c>
    </row>
    <row r="63">
      <c r="G63" s="6" t="n"/>
      <c r="J63" s="6" t="n"/>
      <c r="M63" s="12" t="n"/>
      <c r="N63" s="8" t="n"/>
      <c r="O63" s="6" t="n"/>
      <c r="P63" s="12" t="n"/>
      <c r="Q63" s="6" t="n"/>
      <c r="S63" s="6" t="n"/>
      <c r="U63" s="6" t="n"/>
      <c r="V63" s="12">
        <f>IF(OR(M63="",N63=""),"",IF(OR(I63="Orden pagada",I63="Convenio firmado",I63="Perdida"),"",M63*N63))</f>
        <v/>
      </c>
    </row>
    <row r="64">
      <c r="G64" s="6" t="n"/>
      <c r="J64" s="6" t="n"/>
      <c r="M64" s="12" t="n"/>
      <c r="N64" s="8" t="n"/>
      <c r="O64" s="6" t="n"/>
      <c r="P64" s="12" t="n"/>
      <c r="Q64" s="6" t="n"/>
      <c r="S64" s="6" t="n"/>
      <c r="U64" s="6" t="n"/>
      <c r="V64" s="12">
        <f>IF(OR(M64="",N64=""),"",IF(OR(I64="Orden pagada",I64="Convenio firmado",I64="Perdida"),"",M64*N64))</f>
        <v/>
      </c>
    </row>
    <row r="65">
      <c r="G65" s="6" t="n"/>
      <c r="J65" s="6" t="n"/>
      <c r="M65" s="12" t="n"/>
      <c r="N65" s="8" t="n"/>
      <c r="O65" s="6" t="n"/>
      <c r="P65" s="12" t="n"/>
      <c r="Q65" s="6" t="n"/>
      <c r="S65" s="6" t="n"/>
      <c r="U65" s="6" t="n"/>
      <c r="V65" s="12">
        <f>IF(OR(M65="",N65=""),"",IF(OR(I65="Orden pagada",I65="Convenio firmado",I65="Perdida"),"",M65*N65))</f>
        <v/>
      </c>
    </row>
    <row r="66">
      <c r="G66" s="6" t="n"/>
      <c r="J66" s="6" t="n"/>
      <c r="M66" s="12" t="n"/>
      <c r="N66" s="8" t="n"/>
      <c r="O66" s="6" t="n"/>
      <c r="P66" s="12" t="n"/>
      <c r="Q66" s="6" t="n"/>
      <c r="S66" s="6" t="n"/>
      <c r="U66" s="6" t="n"/>
      <c r="V66" s="12">
        <f>IF(OR(M66="",N66=""),"",IF(OR(I66="Orden pagada",I66="Convenio firmado",I66="Perdida"),"",M66*N66))</f>
        <v/>
      </c>
    </row>
    <row r="67">
      <c r="G67" s="6" t="n"/>
      <c r="J67" s="6" t="n"/>
      <c r="M67" s="12" t="n"/>
      <c r="N67" s="8" t="n"/>
      <c r="O67" s="6" t="n"/>
      <c r="P67" s="12" t="n"/>
      <c r="Q67" s="6" t="n"/>
      <c r="S67" s="6" t="n"/>
      <c r="U67" s="6" t="n"/>
      <c r="V67" s="12">
        <f>IF(OR(M67="",N67=""),"",IF(OR(I67="Orden pagada",I67="Convenio firmado",I67="Perdida"),"",M67*N67))</f>
        <v/>
      </c>
    </row>
    <row r="68">
      <c r="G68" s="6" t="n"/>
      <c r="J68" s="6" t="n"/>
      <c r="M68" s="12" t="n"/>
      <c r="N68" s="8" t="n"/>
      <c r="O68" s="6" t="n"/>
      <c r="P68" s="12" t="n"/>
      <c r="Q68" s="6" t="n"/>
      <c r="S68" s="6" t="n"/>
      <c r="U68" s="6" t="n"/>
      <c r="V68" s="12">
        <f>IF(OR(M68="",N68=""),"",IF(OR(I68="Orden pagada",I68="Convenio firmado",I68="Perdida"),"",M68*N68))</f>
        <v/>
      </c>
    </row>
    <row r="69">
      <c r="G69" s="6" t="n"/>
      <c r="J69" s="6" t="n"/>
      <c r="M69" s="12" t="n"/>
      <c r="N69" s="8" t="n"/>
      <c r="O69" s="6" t="n"/>
      <c r="P69" s="12" t="n"/>
      <c r="Q69" s="6" t="n"/>
      <c r="S69" s="6" t="n"/>
      <c r="U69" s="6" t="n"/>
      <c r="V69" s="12">
        <f>IF(OR(M69="",N69=""),"",IF(OR(I69="Orden pagada",I69="Convenio firmado",I69="Perdida"),"",M69*N69))</f>
        <v/>
      </c>
    </row>
    <row r="70">
      <c r="G70" s="6" t="n"/>
      <c r="J70" s="6" t="n"/>
      <c r="M70" s="12" t="n"/>
      <c r="N70" s="8" t="n"/>
      <c r="O70" s="6" t="n"/>
      <c r="P70" s="12" t="n"/>
      <c r="Q70" s="6" t="n"/>
      <c r="S70" s="6" t="n"/>
      <c r="U70" s="6" t="n"/>
      <c r="V70" s="12">
        <f>IF(OR(M70="",N70=""),"",IF(OR(I70="Orden pagada",I70="Convenio firmado",I70="Perdida"),"",M70*N70))</f>
        <v/>
      </c>
    </row>
    <row r="71">
      <c r="G71" s="6" t="n"/>
      <c r="J71" s="6" t="n"/>
      <c r="M71" s="12" t="n"/>
      <c r="N71" s="8" t="n"/>
      <c r="O71" s="6" t="n"/>
      <c r="P71" s="12" t="n"/>
      <c r="Q71" s="6" t="n"/>
      <c r="S71" s="6" t="n"/>
      <c r="U71" s="6" t="n"/>
      <c r="V71" s="12">
        <f>IF(OR(M71="",N71=""),"",IF(OR(I71="Orden pagada",I71="Convenio firmado",I71="Perdida"),"",M71*N71))</f>
        <v/>
      </c>
    </row>
    <row r="72">
      <c r="G72" s="6" t="n"/>
      <c r="J72" s="6" t="n"/>
      <c r="M72" s="12" t="n"/>
      <c r="N72" s="8" t="n"/>
      <c r="O72" s="6" t="n"/>
      <c r="P72" s="12" t="n"/>
      <c r="Q72" s="6" t="n"/>
      <c r="S72" s="6" t="n"/>
      <c r="U72" s="6" t="n"/>
      <c r="V72" s="12">
        <f>IF(OR(M72="",N72=""),"",IF(OR(I72="Orden pagada",I72="Convenio firmado",I72="Perdida"),"",M72*N72))</f>
        <v/>
      </c>
    </row>
    <row r="73">
      <c r="G73" s="6" t="n"/>
      <c r="J73" s="6" t="n"/>
      <c r="M73" s="12" t="n"/>
      <c r="N73" s="8" t="n"/>
      <c r="O73" s="6" t="n"/>
      <c r="P73" s="12" t="n"/>
      <c r="Q73" s="6" t="n"/>
      <c r="S73" s="6" t="n"/>
      <c r="U73" s="6" t="n"/>
      <c r="V73" s="12">
        <f>IF(OR(M73="",N73=""),"",IF(OR(I73="Orden pagada",I73="Convenio firmado",I73="Perdida"),"",M73*N73))</f>
        <v/>
      </c>
    </row>
    <row r="74">
      <c r="G74" s="6" t="n"/>
      <c r="J74" s="6" t="n"/>
      <c r="M74" s="12" t="n"/>
      <c r="N74" s="8" t="n"/>
      <c r="O74" s="6" t="n"/>
      <c r="P74" s="12" t="n"/>
      <c r="Q74" s="6" t="n"/>
      <c r="S74" s="6" t="n"/>
      <c r="U74" s="6" t="n"/>
      <c r="V74" s="12">
        <f>IF(OR(M74="",N74=""),"",IF(OR(I74="Orden pagada",I74="Convenio firmado",I74="Perdida"),"",M74*N74))</f>
        <v/>
      </c>
    </row>
    <row r="75">
      <c r="G75" s="6" t="n"/>
      <c r="J75" s="6" t="n"/>
      <c r="M75" s="12" t="n"/>
      <c r="N75" s="8" t="n"/>
      <c r="O75" s="6" t="n"/>
      <c r="P75" s="12" t="n"/>
      <c r="Q75" s="6" t="n"/>
      <c r="S75" s="6" t="n"/>
      <c r="U75" s="6" t="n"/>
      <c r="V75" s="12">
        <f>IF(OR(M75="",N75=""),"",IF(OR(I75="Orden pagada",I75="Convenio firmado",I75="Perdida"),"",M75*N75))</f>
        <v/>
      </c>
    </row>
    <row r="76">
      <c r="G76" s="6" t="n"/>
      <c r="J76" s="6" t="n"/>
      <c r="M76" s="12" t="n"/>
      <c r="N76" s="8" t="n"/>
      <c r="O76" s="6" t="n"/>
      <c r="P76" s="12" t="n"/>
      <c r="Q76" s="6" t="n"/>
      <c r="S76" s="6" t="n"/>
      <c r="U76" s="6" t="n"/>
      <c r="V76" s="12">
        <f>IF(OR(M76="",N76=""),"",IF(OR(I76="Orden pagada",I76="Convenio firmado",I76="Perdida"),"",M76*N76))</f>
        <v/>
      </c>
    </row>
    <row r="77">
      <c r="G77" s="6" t="n"/>
      <c r="J77" s="6" t="n"/>
      <c r="M77" s="12" t="n"/>
      <c r="N77" s="8" t="n"/>
      <c r="O77" s="6" t="n"/>
      <c r="P77" s="12" t="n"/>
      <c r="Q77" s="6" t="n"/>
      <c r="S77" s="6" t="n"/>
      <c r="U77" s="6" t="n"/>
      <c r="V77" s="12">
        <f>IF(OR(M77="",N77=""),"",IF(OR(I77="Orden pagada",I77="Convenio firmado",I77="Perdida"),"",M77*N77))</f>
        <v/>
      </c>
    </row>
    <row r="78">
      <c r="G78" s="6" t="n"/>
      <c r="J78" s="6" t="n"/>
      <c r="M78" s="12" t="n"/>
      <c r="N78" s="8" t="n"/>
      <c r="O78" s="6" t="n"/>
      <c r="P78" s="12" t="n"/>
      <c r="Q78" s="6" t="n"/>
      <c r="S78" s="6" t="n"/>
      <c r="U78" s="6" t="n"/>
      <c r="V78" s="12">
        <f>IF(OR(M78="",N78=""),"",IF(OR(I78="Orden pagada",I78="Convenio firmado",I78="Perdida"),"",M78*N78))</f>
        <v/>
      </c>
    </row>
    <row r="79">
      <c r="G79" s="6" t="n"/>
      <c r="J79" s="6" t="n"/>
      <c r="M79" s="12" t="n"/>
      <c r="N79" s="8" t="n"/>
      <c r="O79" s="6" t="n"/>
      <c r="P79" s="12" t="n"/>
      <c r="Q79" s="6" t="n"/>
      <c r="S79" s="6" t="n"/>
      <c r="U79" s="6" t="n"/>
      <c r="V79" s="12">
        <f>IF(OR(M79="",N79=""),"",IF(OR(I79="Orden pagada",I79="Convenio firmado",I79="Perdida"),"",M79*N79))</f>
        <v/>
      </c>
    </row>
    <row r="80">
      <c r="G80" s="6" t="n"/>
      <c r="J80" s="6" t="n"/>
      <c r="M80" s="12" t="n"/>
      <c r="N80" s="8" t="n"/>
      <c r="O80" s="6" t="n"/>
      <c r="P80" s="12" t="n"/>
      <c r="Q80" s="6" t="n"/>
      <c r="S80" s="6" t="n"/>
      <c r="U80" s="6" t="n"/>
      <c r="V80" s="12">
        <f>IF(OR(M80="",N80=""),"",IF(OR(I80="Orden pagada",I80="Convenio firmado",I80="Perdida"),"",M80*N80))</f>
        <v/>
      </c>
    </row>
    <row r="81">
      <c r="G81" s="6" t="n"/>
      <c r="J81" s="6" t="n"/>
      <c r="M81" s="12" t="n"/>
      <c r="N81" s="8" t="n"/>
      <c r="O81" s="6" t="n"/>
      <c r="P81" s="12" t="n"/>
      <c r="Q81" s="6" t="n"/>
      <c r="S81" s="6" t="n"/>
      <c r="U81" s="6" t="n"/>
      <c r="V81" s="12">
        <f>IF(OR(M81="",N81=""),"",IF(OR(I81="Orden pagada",I81="Convenio firmado",I81="Perdida"),"",M81*N81))</f>
        <v/>
      </c>
    </row>
    <row r="82">
      <c r="G82" s="6" t="n"/>
      <c r="J82" s="6" t="n"/>
      <c r="M82" s="12" t="n"/>
      <c r="N82" s="8" t="n"/>
      <c r="O82" s="6" t="n"/>
      <c r="P82" s="12" t="n"/>
      <c r="Q82" s="6" t="n"/>
      <c r="S82" s="6" t="n"/>
      <c r="U82" s="6" t="n"/>
      <c r="V82" s="12">
        <f>IF(OR(M82="",N82=""),"",IF(OR(I82="Orden pagada",I82="Convenio firmado",I82="Perdida"),"",M82*N82))</f>
        <v/>
      </c>
    </row>
    <row r="83">
      <c r="G83" s="6" t="n"/>
      <c r="J83" s="6" t="n"/>
      <c r="M83" s="12" t="n"/>
      <c r="N83" s="8" t="n"/>
      <c r="O83" s="6" t="n"/>
      <c r="P83" s="12" t="n"/>
      <c r="Q83" s="6" t="n"/>
      <c r="S83" s="6" t="n"/>
      <c r="U83" s="6" t="n"/>
      <c r="V83" s="12">
        <f>IF(OR(M83="",N83=""),"",IF(OR(I83="Orden pagada",I83="Convenio firmado",I83="Perdida"),"",M83*N83))</f>
        <v/>
      </c>
    </row>
    <row r="84">
      <c r="G84" s="6" t="n"/>
      <c r="J84" s="6" t="n"/>
      <c r="M84" s="12" t="n"/>
      <c r="N84" s="8" t="n"/>
      <c r="O84" s="6" t="n"/>
      <c r="P84" s="12" t="n"/>
      <c r="Q84" s="6" t="n"/>
      <c r="S84" s="6" t="n"/>
      <c r="U84" s="6" t="n"/>
      <c r="V84" s="12">
        <f>IF(OR(M84="",N84=""),"",IF(OR(I84="Orden pagada",I84="Convenio firmado",I84="Perdida"),"",M84*N84))</f>
        <v/>
      </c>
    </row>
    <row r="85">
      <c r="G85" s="6" t="n"/>
      <c r="J85" s="6" t="n"/>
      <c r="M85" s="12" t="n"/>
      <c r="N85" s="8" t="n"/>
      <c r="O85" s="6" t="n"/>
      <c r="P85" s="12" t="n"/>
      <c r="Q85" s="6" t="n"/>
      <c r="S85" s="6" t="n"/>
      <c r="U85" s="6" t="n"/>
      <c r="V85" s="12">
        <f>IF(OR(M85="",N85=""),"",IF(OR(I85="Orden pagada",I85="Convenio firmado",I85="Perdida"),"",M85*N85))</f>
        <v/>
      </c>
    </row>
    <row r="86">
      <c r="G86" s="6" t="n"/>
      <c r="J86" s="6" t="n"/>
      <c r="M86" s="12" t="n"/>
      <c r="N86" s="8" t="n"/>
      <c r="O86" s="6" t="n"/>
      <c r="P86" s="12" t="n"/>
      <c r="Q86" s="6" t="n"/>
      <c r="S86" s="6" t="n"/>
      <c r="U86" s="6" t="n"/>
      <c r="V86" s="12">
        <f>IF(OR(M86="",N86=""),"",IF(OR(I86="Orden pagada",I86="Convenio firmado",I86="Perdida"),"",M86*N86))</f>
        <v/>
      </c>
    </row>
    <row r="87">
      <c r="G87" s="6" t="n"/>
      <c r="J87" s="6" t="n"/>
      <c r="M87" s="12" t="n"/>
      <c r="N87" s="8" t="n"/>
      <c r="O87" s="6" t="n"/>
      <c r="P87" s="12" t="n"/>
      <c r="Q87" s="6" t="n"/>
      <c r="S87" s="6" t="n"/>
      <c r="U87" s="6" t="n"/>
      <c r="V87" s="12">
        <f>IF(OR(M87="",N87=""),"",IF(OR(I87="Orden pagada",I87="Convenio firmado",I87="Perdida"),"",M87*N87))</f>
        <v/>
      </c>
    </row>
    <row r="88">
      <c r="G88" s="6" t="n"/>
      <c r="J88" s="6" t="n"/>
      <c r="M88" s="12" t="n"/>
      <c r="N88" s="8" t="n"/>
      <c r="O88" s="6" t="n"/>
      <c r="P88" s="12" t="n"/>
      <c r="Q88" s="6" t="n"/>
      <c r="S88" s="6" t="n"/>
      <c r="U88" s="6" t="n"/>
      <c r="V88" s="12">
        <f>IF(OR(M88="",N88=""),"",IF(OR(I88="Orden pagada",I88="Convenio firmado",I88="Perdida"),"",M88*N88))</f>
        <v/>
      </c>
    </row>
    <row r="89">
      <c r="G89" s="6" t="n"/>
      <c r="J89" s="6" t="n"/>
      <c r="M89" s="12" t="n"/>
      <c r="N89" s="8" t="n"/>
      <c r="O89" s="6" t="n"/>
      <c r="P89" s="12" t="n"/>
      <c r="Q89" s="6" t="n"/>
      <c r="S89" s="6" t="n"/>
      <c r="U89" s="6" t="n"/>
      <c r="V89" s="12">
        <f>IF(OR(M89="",N89=""),"",IF(OR(I89="Orden pagada",I89="Convenio firmado",I89="Perdida"),"",M89*N89))</f>
        <v/>
      </c>
    </row>
    <row r="90">
      <c r="G90" s="6" t="n"/>
      <c r="J90" s="6" t="n"/>
      <c r="M90" s="12" t="n"/>
      <c r="N90" s="8" t="n"/>
      <c r="O90" s="6" t="n"/>
      <c r="P90" s="12" t="n"/>
      <c r="Q90" s="6" t="n"/>
      <c r="S90" s="6" t="n"/>
      <c r="U90" s="6" t="n"/>
      <c r="V90" s="12">
        <f>IF(OR(M90="",N90=""),"",IF(OR(I90="Orden pagada",I90="Convenio firmado",I90="Perdida"),"",M90*N90))</f>
        <v/>
      </c>
    </row>
    <row r="91">
      <c r="G91" s="6" t="n"/>
      <c r="J91" s="6" t="n"/>
      <c r="M91" s="12" t="n"/>
      <c r="N91" s="8" t="n"/>
      <c r="O91" s="6" t="n"/>
      <c r="P91" s="12" t="n"/>
      <c r="Q91" s="6" t="n"/>
      <c r="S91" s="6" t="n"/>
      <c r="U91" s="6" t="n"/>
      <c r="V91" s="12">
        <f>IF(OR(M91="",N91=""),"",IF(OR(I91="Orden pagada",I91="Convenio firmado",I91="Perdida"),"",M91*N91))</f>
        <v/>
      </c>
    </row>
    <row r="92">
      <c r="G92" s="6" t="n"/>
      <c r="J92" s="6" t="n"/>
      <c r="M92" s="12" t="n"/>
      <c r="N92" s="8" t="n"/>
      <c r="O92" s="6" t="n"/>
      <c r="P92" s="12" t="n"/>
      <c r="Q92" s="6" t="n"/>
      <c r="S92" s="6" t="n"/>
      <c r="U92" s="6" t="n"/>
      <c r="V92" s="12">
        <f>IF(OR(M92="",N92=""),"",IF(OR(I92="Orden pagada",I92="Convenio firmado",I92="Perdida"),"",M92*N92))</f>
        <v/>
      </c>
    </row>
    <row r="93">
      <c r="G93" s="6" t="n"/>
      <c r="J93" s="6" t="n"/>
      <c r="M93" s="12" t="n"/>
      <c r="N93" s="8" t="n"/>
      <c r="O93" s="6" t="n"/>
      <c r="P93" s="12" t="n"/>
      <c r="Q93" s="6" t="n"/>
      <c r="S93" s="6" t="n"/>
      <c r="U93" s="6" t="n"/>
      <c r="V93" s="12">
        <f>IF(OR(M93="",N93=""),"",IF(OR(I93="Orden pagada",I93="Convenio firmado",I93="Perdida"),"",M93*N93))</f>
        <v/>
      </c>
    </row>
    <row r="94">
      <c r="G94" s="6" t="n"/>
      <c r="J94" s="6" t="n"/>
      <c r="M94" s="12" t="n"/>
      <c r="N94" s="8" t="n"/>
      <c r="O94" s="6" t="n"/>
      <c r="P94" s="12" t="n"/>
      <c r="Q94" s="6" t="n"/>
      <c r="S94" s="6" t="n"/>
      <c r="U94" s="6" t="n"/>
      <c r="V94" s="12">
        <f>IF(OR(M94="",N94=""),"",IF(OR(I94="Orden pagada",I94="Convenio firmado",I94="Perdida"),"",M94*N94))</f>
        <v/>
      </c>
    </row>
    <row r="95">
      <c r="G95" s="6" t="n"/>
      <c r="J95" s="6" t="n"/>
      <c r="M95" s="12" t="n"/>
      <c r="N95" s="8" t="n"/>
      <c r="O95" s="6" t="n"/>
      <c r="P95" s="12" t="n"/>
      <c r="Q95" s="6" t="n"/>
      <c r="S95" s="6" t="n"/>
      <c r="U95" s="6" t="n"/>
      <c r="V95" s="12">
        <f>IF(OR(M95="",N95=""),"",IF(OR(I95="Orden pagada",I95="Convenio firmado",I95="Perdida"),"",M95*N95))</f>
        <v/>
      </c>
    </row>
    <row r="96">
      <c r="G96" s="6" t="n"/>
      <c r="J96" s="6" t="n"/>
      <c r="M96" s="12" t="n"/>
      <c r="N96" s="8" t="n"/>
      <c r="O96" s="6" t="n"/>
      <c r="P96" s="12" t="n"/>
      <c r="Q96" s="6" t="n"/>
      <c r="S96" s="6" t="n"/>
      <c r="U96" s="6" t="n"/>
      <c r="V96" s="12">
        <f>IF(OR(M96="",N96=""),"",IF(OR(I96="Orden pagada",I96="Convenio firmado",I96="Perdida"),"",M96*N96))</f>
        <v/>
      </c>
    </row>
    <row r="97">
      <c r="G97" s="6" t="n"/>
      <c r="J97" s="6" t="n"/>
      <c r="M97" s="12" t="n"/>
      <c r="N97" s="8" t="n"/>
      <c r="O97" s="6" t="n"/>
      <c r="P97" s="12" t="n"/>
      <c r="Q97" s="6" t="n"/>
      <c r="S97" s="6" t="n"/>
      <c r="U97" s="6" t="n"/>
      <c r="V97" s="12">
        <f>IF(OR(M97="",N97=""),"",IF(OR(I97="Orden pagada",I97="Convenio firmado",I97="Perdida"),"",M97*N97))</f>
        <v/>
      </c>
    </row>
    <row r="98">
      <c r="G98" s="6" t="n"/>
      <c r="J98" s="6" t="n"/>
      <c r="M98" s="12" t="n"/>
      <c r="N98" s="8" t="n"/>
      <c r="O98" s="6" t="n"/>
      <c r="P98" s="12" t="n"/>
      <c r="Q98" s="6" t="n"/>
      <c r="S98" s="6" t="n"/>
      <c r="U98" s="6" t="n"/>
      <c r="V98" s="12">
        <f>IF(OR(M98="",N98=""),"",IF(OR(I98="Orden pagada",I98="Convenio firmado",I98="Perdida"),"",M98*N98))</f>
        <v/>
      </c>
    </row>
    <row r="99">
      <c r="G99" s="6" t="n"/>
      <c r="J99" s="6" t="n"/>
      <c r="M99" s="12" t="n"/>
      <c r="N99" s="8" t="n"/>
      <c r="O99" s="6" t="n"/>
      <c r="P99" s="12" t="n"/>
      <c r="Q99" s="6" t="n"/>
      <c r="S99" s="6" t="n"/>
      <c r="U99" s="6" t="n"/>
      <c r="V99" s="12">
        <f>IF(OR(M99="",N99=""),"",IF(OR(I99="Orden pagada",I99="Convenio firmado",I99="Perdida"),"",M99*N99))</f>
        <v/>
      </c>
    </row>
    <row r="100">
      <c r="G100" s="6" t="n"/>
      <c r="J100" s="6" t="n"/>
      <c r="M100" s="12" t="n"/>
      <c r="N100" s="8" t="n"/>
      <c r="O100" s="6" t="n"/>
      <c r="P100" s="12" t="n"/>
      <c r="Q100" s="6" t="n"/>
      <c r="S100" s="6" t="n"/>
      <c r="U100" s="6" t="n"/>
      <c r="V100" s="12">
        <f>IF(OR(M100="",N100=""),"",IF(OR(I100="Orden pagada",I100="Convenio firmado",I100="Perdida"),"",M100*N100))</f>
        <v/>
      </c>
    </row>
    <row r="101">
      <c r="G101" s="6" t="n"/>
      <c r="J101" s="6" t="n"/>
      <c r="M101" s="12" t="n"/>
      <c r="N101" s="8" t="n"/>
      <c r="O101" s="6" t="n"/>
      <c r="P101" s="12" t="n"/>
      <c r="Q101" s="6" t="n"/>
      <c r="S101" s="6" t="n"/>
      <c r="U101" s="6" t="n"/>
      <c r="V101" s="12">
        <f>IF(OR(M101="",N101=""),"",IF(OR(I101="Orden pagada",I101="Convenio firmado",I101="Perdida"),"",M101*N101))</f>
        <v/>
      </c>
    </row>
    <row r="102">
      <c r="G102" s="6" t="n"/>
      <c r="J102" s="6" t="n"/>
      <c r="M102" s="12" t="n"/>
      <c r="N102" s="8" t="n"/>
      <c r="O102" s="6" t="n"/>
      <c r="P102" s="12" t="n"/>
      <c r="Q102" s="6" t="n"/>
      <c r="S102" s="6" t="n"/>
      <c r="U102" s="6" t="n"/>
      <c r="V102" s="12">
        <f>IF(OR(M102="",N102=""),"",IF(OR(I102="Orden pagada",I102="Convenio firmado",I102="Perdida"),"",M102*N102))</f>
        <v/>
      </c>
    </row>
    <row r="103">
      <c r="G103" s="6" t="n"/>
      <c r="J103" s="6" t="n"/>
      <c r="M103" s="12" t="n"/>
      <c r="N103" s="8" t="n"/>
      <c r="O103" s="6" t="n"/>
      <c r="P103" s="12" t="n"/>
      <c r="Q103" s="6" t="n"/>
      <c r="S103" s="6" t="n"/>
      <c r="U103" s="6" t="n"/>
      <c r="V103" s="12">
        <f>IF(OR(M103="",N103=""),"",IF(OR(I103="Orden pagada",I103="Convenio firmado",I103="Perdida"),"",M103*N103))</f>
        <v/>
      </c>
    </row>
    <row r="104">
      <c r="G104" s="6" t="n"/>
      <c r="J104" s="6" t="n"/>
      <c r="M104" s="12" t="n"/>
      <c r="N104" s="8" t="n"/>
      <c r="O104" s="6" t="n"/>
      <c r="P104" s="12" t="n"/>
      <c r="Q104" s="6" t="n"/>
      <c r="S104" s="6" t="n"/>
      <c r="U104" s="6" t="n"/>
      <c r="V104" s="12">
        <f>IF(OR(M104="",N104=""),"",IF(OR(I104="Orden pagada",I104="Convenio firmado",I104="Perdida"),"",M104*N104))</f>
        <v/>
      </c>
    </row>
    <row r="105">
      <c r="G105" s="6" t="n"/>
      <c r="J105" s="6" t="n"/>
      <c r="M105" s="12" t="n"/>
      <c r="N105" s="8" t="n"/>
      <c r="O105" s="6" t="n"/>
      <c r="P105" s="12" t="n"/>
      <c r="Q105" s="6" t="n"/>
      <c r="S105" s="6" t="n"/>
      <c r="U105" s="6" t="n"/>
      <c r="V105" s="12">
        <f>IF(OR(M105="",N105=""),"",IF(OR(I105="Orden pagada",I105="Convenio firmado",I105="Perdida"),"",M105*N105))</f>
        <v/>
      </c>
    </row>
    <row r="106">
      <c r="G106" s="6" t="n"/>
      <c r="J106" s="6" t="n"/>
      <c r="M106" s="12" t="n"/>
      <c r="N106" s="8" t="n"/>
      <c r="O106" s="6" t="n"/>
      <c r="P106" s="12" t="n"/>
      <c r="Q106" s="6" t="n"/>
      <c r="S106" s="6" t="n"/>
      <c r="U106" s="6" t="n"/>
      <c r="V106" s="12">
        <f>IF(OR(M106="",N106=""),"",IF(OR(I106="Orden pagada",I106="Convenio firmado",I106="Perdida"),"",M106*N106))</f>
        <v/>
      </c>
    </row>
    <row r="107">
      <c r="G107" s="6" t="n"/>
      <c r="J107" s="6" t="n"/>
      <c r="M107" s="12" t="n"/>
      <c r="N107" s="8" t="n"/>
      <c r="O107" s="6" t="n"/>
      <c r="P107" s="12" t="n"/>
      <c r="Q107" s="6" t="n"/>
      <c r="S107" s="6" t="n"/>
      <c r="U107" s="6" t="n"/>
      <c r="V107" s="12">
        <f>IF(OR(M107="",N107=""),"",IF(OR(I107="Orden pagada",I107="Convenio firmado",I107="Perdida"),"",M107*N107))</f>
        <v/>
      </c>
    </row>
    <row r="108">
      <c r="G108" s="6" t="n"/>
      <c r="J108" s="6" t="n"/>
      <c r="M108" s="12" t="n"/>
      <c r="N108" s="8" t="n"/>
      <c r="O108" s="6" t="n"/>
      <c r="P108" s="12" t="n"/>
      <c r="Q108" s="6" t="n"/>
      <c r="S108" s="6" t="n"/>
      <c r="U108" s="6" t="n"/>
      <c r="V108" s="12">
        <f>IF(OR(M108="",N108=""),"",IF(OR(I108="Orden pagada",I108="Convenio firmado",I108="Perdida"),"",M108*N108))</f>
        <v/>
      </c>
    </row>
    <row r="109">
      <c r="G109" s="6" t="n"/>
      <c r="J109" s="6" t="n"/>
      <c r="M109" s="12" t="n"/>
      <c r="N109" s="8" t="n"/>
      <c r="O109" s="6" t="n"/>
      <c r="P109" s="12" t="n"/>
      <c r="Q109" s="6" t="n"/>
      <c r="S109" s="6" t="n"/>
      <c r="U109" s="6" t="n"/>
      <c r="V109" s="12">
        <f>IF(OR(M109="",N109=""),"",IF(OR(I109="Orden pagada",I109="Convenio firmado",I109="Perdida"),"",M109*N109))</f>
        <v/>
      </c>
    </row>
    <row r="110">
      <c r="G110" s="6" t="n"/>
      <c r="J110" s="6" t="n"/>
      <c r="M110" s="12" t="n"/>
      <c r="N110" s="8" t="n"/>
      <c r="O110" s="6" t="n"/>
      <c r="P110" s="12" t="n"/>
      <c r="Q110" s="6" t="n"/>
      <c r="S110" s="6" t="n"/>
      <c r="U110" s="6" t="n"/>
      <c r="V110" s="12">
        <f>IF(OR(M110="",N110=""),"",IF(OR(I110="Orden pagada",I110="Convenio firmado",I110="Perdida"),"",M110*N110))</f>
        <v/>
      </c>
    </row>
    <row r="111">
      <c r="G111" s="6" t="n"/>
      <c r="J111" s="6" t="n"/>
      <c r="M111" s="12" t="n"/>
      <c r="N111" s="8" t="n"/>
      <c r="O111" s="6" t="n"/>
      <c r="P111" s="12" t="n"/>
      <c r="Q111" s="6" t="n"/>
      <c r="S111" s="6" t="n"/>
      <c r="U111" s="6" t="n"/>
      <c r="V111" s="12">
        <f>IF(OR(M111="",N111=""),"",IF(OR(I111="Orden pagada",I111="Convenio firmado",I111="Perdida"),"",M111*N111))</f>
        <v/>
      </c>
    </row>
    <row r="112">
      <c r="G112" s="6" t="n"/>
      <c r="J112" s="6" t="n"/>
      <c r="M112" s="12" t="n"/>
      <c r="N112" s="8" t="n"/>
      <c r="O112" s="6" t="n"/>
      <c r="P112" s="12" t="n"/>
      <c r="Q112" s="6" t="n"/>
      <c r="S112" s="6" t="n"/>
      <c r="U112" s="6" t="n"/>
      <c r="V112" s="12">
        <f>IF(OR(M112="",N112=""),"",IF(OR(I112="Orden pagada",I112="Convenio firmado",I112="Perdida"),"",M112*N112))</f>
        <v/>
      </c>
    </row>
    <row r="113">
      <c r="G113" s="6" t="n"/>
      <c r="J113" s="6" t="n"/>
      <c r="M113" s="12" t="n"/>
      <c r="N113" s="8" t="n"/>
      <c r="O113" s="6" t="n"/>
      <c r="P113" s="12" t="n"/>
      <c r="Q113" s="6" t="n"/>
      <c r="S113" s="6" t="n"/>
      <c r="U113" s="6" t="n"/>
      <c r="V113" s="12">
        <f>IF(OR(M113="",N113=""),"",IF(OR(I113="Orden pagada",I113="Convenio firmado",I113="Perdida"),"",M113*N113))</f>
        <v/>
      </c>
    </row>
    <row r="114">
      <c r="G114" s="6" t="n"/>
      <c r="J114" s="6" t="n"/>
      <c r="M114" s="12" t="n"/>
      <c r="N114" s="8" t="n"/>
      <c r="O114" s="6" t="n"/>
      <c r="P114" s="12" t="n"/>
      <c r="Q114" s="6" t="n"/>
      <c r="S114" s="6" t="n"/>
      <c r="U114" s="6" t="n"/>
      <c r="V114" s="12">
        <f>IF(OR(M114="",N114=""),"",IF(OR(I114="Orden pagada",I114="Convenio firmado",I114="Perdida"),"",M114*N114))</f>
        <v/>
      </c>
    </row>
    <row r="115">
      <c r="G115" s="6" t="n"/>
      <c r="J115" s="6" t="n"/>
      <c r="M115" s="12" t="n"/>
      <c r="N115" s="8" t="n"/>
      <c r="O115" s="6" t="n"/>
      <c r="P115" s="12" t="n"/>
      <c r="Q115" s="6" t="n"/>
      <c r="S115" s="6" t="n"/>
      <c r="U115" s="6" t="n"/>
      <c r="V115" s="12">
        <f>IF(OR(M115="",N115=""),"",IF(OR(I115="Orden pagada",I115="Convenio firmado",I115="Perdida"),"",M115*N115))</f>
        <v/>
      </c>
    </row>
    <row r="116">
      <c r="G116" s="6" t="n"/>
      <c r="J116" s="6" t="n"/>
      <c r="M116" s="12" t="n"/>
      <c r="N116" s="8" t="n"/>
      <c r="O116" s="6" t="n"/>
      <c r="P116" s="12" t="n"/>
      <c r="Q116" s="6" t="n"/>
      <c r="S116" s="6" t="n"/>
      <c r="U116" s="6" t="n"/>
      <c r="V116" s="12">
        <f>IF(OR(M116="",N116=""),"",IF(OR(I116="Orden pagada",I116="Convenio firmado",I116="Perdida"),"",M116*N116))</f>
        <v/>
      </c>
    </row>
    <row r="117">
      <c r="G117" s="6" t="n"/>
      <c r="J117" s="6" t="n"/>
      <c r="M117" s="12" t="n"/>
      <c r="N117" s="8" t="n"/>
      <c r="O117" s="6" t="n"/>
      <c r="P117" s="12" t="n"/>
      <c r="Q117" s="6" t="n"/>
      <c r="S117" s="6" t="n"/>
      <c r="U117" s="6" t="n"/>
      <c r="V117" s="12">
        <f>IF(OR(M117="",N117=""),"",IF(OR(I117="Orden pagada",I117="Convenio firmado",I117="Perdida"),"",M117*N117))</f>
        <v/>
      </c>
    </row>
    <row r="118">
      <c r="G118" s="6" t="n"/>
      <c r="J118" s="6" t="n"/>
      <c r="M118" s="12" t="n"/>
      <c r="N118" s="8" t="n"/>
      <c r="O118" s="6" t="n"/>
      <c r="P118" s="12" t="n"/>
      <c r="Q118" s="6" t="n"/>
      <c r="S118" s="6" t="n"/>
      <c r="U118" s="6" t="n"/>
      <c r="V118" s="12">
        <f>IF(OR(M118="",N118=""),"",IF(OR(I118="Orden pagada",I118="Convenio firmado",I118="Perdida"),"",M118*N118))</f>
        <v/>
      </c>
    </row>
    <row r="119">
      <c r="G119" s="6" t="n"/>
      <c r="J119" s="6" t="n"/>
      <c r="M119" s="12" t="n"/>
      <c r="N119" s="8" t="n"/>
      <c r="O119" s="6" t="n"/>
      <c r="P119" s="12" t="n"/>
      <c r="Q119" s="6" t="n"/>
      <c r="S119" s="6" t="n"/>
      <c r="U119" s="6" t="n"/>
      <c r="V119" s="12">
        <f>IF(OR(M119="",N119=""),"",IF(OR(I119="Orden pagada",I119="Convenio firmado",I119="Perdida"),"",M119*N119))</f>
        <v/>
      </c>
    </row>
    <row r="120">
      <c r="G120" s="6" t="n"/>
      <c r="J120" s="6" t="n"/>
      <c r="M120" s="12" t="n"/>
      <c r="N120" s="8" t="n"/>
      <c r="O120" s="6" t="n"/>
      <c r="P120" s="12" t="n"/>
      <c r="Q120" s="6" t="n"/>
      <c r="S120" s="6" t="n"/>
      <c r="U120" s="6" t="n"/>
      <c r="V120" s="12">
        <f>IF(OR(M120="",N120=""),"",IF(OR(I120="Orden pagada",I120="Convenio firmado",I120="Perdida"),"",M120*N120))</f>
        <v/>
      </c>
    </row>
    <row r="121">
      <c r="G121" s="6" t="n"/>
      <c r="J121" s="6" t="n"/>
      <c r="M121" s="12" t="n"/>
      <c r="N121" s="8" t="n"/>
      <c r="O121" s="6" t="n"/>
      <c r="P121" s="12" t="n"/>
      <c r="Q121" s="6" t="n"/>
      <c r="S121" s="6" t="n"/>
      <c r="U121" s="6" t="n"/>
      <c r="V121" s="12">
        <f>IF(OR(M121="",N121=""),"",IF(OR(I121="Orden pagada",I121="Convenio firmado",I121="Perdida"),"",M121*N121))</f>
        <v/>
      </c>
    </row>
    <row r="122">
      <c r="G122" s="6" t="n"/>
      <c r="J122" s="6" t="n"/>
      <c r="M122" s="12" t="n"/>
      <c r="N122" s="8" t="n"/>
      <c r="O122" s="6" t="n"/>
      <c r="P122" s="12" t="n"/>
      <c r="Q122" s="6" t="n"/>
      <c r="S122" s="6" t="n"/>
      <c r="U122" s="6" t="n"/>
      <c r="V122" s="12">
        <f>IF(OR(M122="",N122=""),"",IF(OR(I122="Orden pagada",I122="Convenio firmado",I122="Perdida"),"",M122*N122))</f>
        <v/>
      </c>
    </row>
    <row r="123">
      <c r="G123" s="6" t="n"/>
      <c r="J123" s="6" t="n"/>
      <c r="M123" s="12" t="n"/>
      <c r="N123" s="8" t="n"/>
      <c r="O123" s="6" t="n"/>
      <c r="P123" s="12" t="n"/>
      <c r="Q123" s="6" t="n"/>
      <c r="S123" s="6" t="n"/>
      <c r="U123" s="6" t="n"/>
      <c r="V123" s="12">
        <f>IF(OR(M123="",N123=""),"",IF(OR(I123="Orden pagada",I123="Convenio firmado",I123="Perdida"),"",M123*N123))</f>
        <v/>
      </c>
    </row>
    <row r="124">
      <c r="G124" s="6" t="n"/>
      <c r="J124" s="6" t="n"/>
      <c r="M124" s="12" t="n"/>
      <c r="N124" s="8" t="n"/>
      <c r="O124" s="6" t="n"/>
      <c r="P124" s="12" t="n"/>
      <c r="Q124" s="6" t="n"/>
      <c r="S124" s="6" t="n"/>
      <c r="U124" s="6" t="n"/>
      <c r="V124" s="12">
        <f>IF(OR(M124="",N124=""),"",IF(OR(I124="Orden pagada",I124="Convenio firmado",I124="Perdida"),"",M124*N124))</f>
        <v/>
      </c>
    </row>
    <row r="125">
      <c r="G125" s="6" t="n"/>
      <c r="J125" s="6" t="n"/>
      <c r="M125" s="12" t="n"/>
      <c r="N125" s="8" t="n"/>
      <c r="O125" s="6" t="n"/>
      <c r="P125" s="12" t="n"/>
      <c r="Q125" s="6" t="n"/>
      <c r="S125" s="6" t="n"/>
      <c r="U125" s="6" t="n"/>
      <c r="V125" s="12">
        <f>IF(OR(M125="",N125=""),"",IF(OR(I125="Orden pagada",I125="Convenio firmado",I125="Perdida"),"",M125*N125))</f>
        <v/>
      </c>
    </row>
    <row r="126">
      <c r="G126" s="6" t="n"/>
      <c r="J126" s="6" t="n"/>
      <c r="M126" s="12" t="n"/>
      <c r="N126" s="8" t="n"/>
      <c r="O126" s="6" t="n"/>
      <c r="P126" s="12" t="n"/>
      <c r="Q126" s="6" t="n"/>
      <c r="S126" s="6" t="n"/>
      <c r="U126" s="6" t="n"/>
      <c r="V126" s="12">
        <f>IF(OR(M126="",N126=""),"",IF(OR(I126="Orden pagada",I126="Convenio firmado",I126="Perdida"),"",M126*N126))</f>
        <v/>
      </c>
    </row>
    <row r="127">
      <c r="G127" s="6" t="n"/>
      <c r="J127" s="6" t="n"/>
      <c r="M127" s="12" t="n"/>
      <c r="N127" s="8" t="n"/>
      <c r="O127" s="6" t="n"/>
      <c r="P127" s="12" t="n"/>
      <c r="Q127" s="6" t="n"/>
      <c r="S127" s="6" t="n"/>
      <c r="U127" s="6" t="n"/>
      <c r="V127" s="12">
        <f>IF(OR(M127="",N127=""),"",IF(OR(I127="Orden pagada",I127="Convenio firmado",I127="Perdida"),"",M127*N127))</f>
        <v/>
      </c>
    </row>
    <row r="128">
      <c r="G128" s="6" t="n"/>
      <c r="J128" s="6" t="n"/>
      <c r="M128" s="12" t="n"/>
      <c r="N128" s="8" t="n"/>
      <c r="O128" s="6" t="n"/>
      <c r="P128" s="12" t="n"/>
      <c r="Q128" s="6" t="n"/>
      <c r="S128" s="6" t="n"/>
      <c r="U128" s="6" t="n"/>
      <c r="V128" s="12">
        <f>IF(OR(M128="",N128=""),"",IF(OR(I128="Orden pagada",I128="Convenio firmado",I128="Perdida"),"",M128*N128))</f>
        <v/>
      </c>
    </row>
    <row r="129">
      <c r="G129" s="6" t="n"/>
      <c r="J129" s="6" t="n"/>
      <c r="M129" s="12" t="n"/>
      <c r="N129" s="8" t="n"/>
      <c r="O129" s="6" t="n"/>
      <c r="P129" s="12" t="n"/>
      <c r="Q129" s="6" t="n"/>
      <c r="S129" s="6" t="n"/>
      <c r="U129" s="6" t="n"/>
      <c r="V129" s="12">
        <f>IF(OR(M129="",N129=""),"",IF(OR(I129="Orden pagada",I129="Convenio firmado",I129="Perdida"),"",M129*N129))</f>
        <v/>
      </c>
    </row>
    <row r="130">
      <c r="G130" s="6" t="n"/>
      <c r="J130" s="6" t="n"/>
      <c r="M130" s="12" t="n"/>
      <c r="N130" s="8" t="n"/>
      <c r="O130" s="6" t="n"/>
      <c r="P130" s="12" t="n"/>
      <c r="Q130" s="6" t="n"/>
      <c r="S130" s="6" t="n"/>
      <c r="U130" s="6" t="n"/>
      <c r="V130" s="12">
        <f>IF(OR(M130="",N130=""),"",IF(OR(I130="Orden pagada",I130="Convenio firmado",I130="Perdida"),"",M130*N130))</f>
        <v/>
      </c>
    </row>
    <row r="131">
      <c r="G131" s="6" t="n"/>
      <c r="J131" s="6" t="n"/>
      <c r="M131" s="12" t="n"/>
      <c r="N131" s="8" t="n"/>
      <c r="O131" s="6" t="n"/>
      <c r="P131" s="12" t="n"/>
      <c r="Q131" s="6" t="n"/>
      <c r="S131" s="6" t="n"/>
      <c r="U131" s="6" t="n"/>
      <c r="V131" s="12">
        <f>IF(OR(M131="",N131=""),"",IF(OR(I131="Orden pagada",I131="Convenio firmado",I131="Perdida"),"",M131*N131))</f>
        <v/>
      </c>
    </row>
    <row r="132">
      <c r="G132" s="6" t="n"/>
      <c r="J132" s="6" t="n"/>
      <c r="M132" s="12" t="n"/>
      <c r="N132" s="8" t="n"/>
      <c r="O132" s="6" t="n"/>
      <c r="P132" s="12" t="n"/>
      <c r="Q132" s="6" t="n"/>
      <c r="S132" s="6" t="n"/>
      <c r="U132" s="6" t="n"/>
      <c r="V132" s="12">
        <f>IF(OR(M132="",N132=""),"",IF(OR(I132="Orden pagada",I132="Convenio firmado",I132="Perdida"),"",M132*N132))</f>
        <v/>
      </c>
    </row>
    <row r="133">
      <c r="G133" s="6" t="n"/>
      <c r="J133" s="6" t="n"/>
      <c r="M133" s="12" t="n"/>
      <c r="N133" s="8" t="n"/>
      <c r="O133" s="6" t="n"/>
      <c r="P133" s="12" t="n"/>
      <c r="Q133" s="6" t="n"/>
      <c r="S133" s="6" t="n"/>
      <c r="U133" s="6" t="n"/>
      <c r="V133" s="12">
        <f>IF(OR(M133="",N133=""),"",IF(OR(I133="Orden pagada",I133="Convenio firmado",I133="Perdida"),"",M133*N133))</f>
        <v/>
      </c>
    </row>
    <row r="134">
      <c r="G134" s="6" t="n"/>
      <c r="J134" s="6" t="n"/>
      <c r="M134" s="12" t="n"/>
      <c r="N134" s="8" t="n"/>
      <c r="O134" s="6" t="n"/>
      <c r="P134" s="12" t="n"/>
      <c r="Q134" s="6" t="n"/>
      <c r="S134" s="6" t="n"/>
      <c r="U134" s="6" t="n"/>
      <c r="V134" s="12">
        <f>IF(OR(M134="",N134=""),"",IF(OR(I134="Orden pagada",I134="Convenio firmado",I134="Perdida"),"",M134*N134))</f>
        <v/>
      </c>
    </row>
    <row r="135">
      <c r="G135" s="6" t="n"/>
      <c r="J135" s="6" t="n"/>
      <c r="M135" s="12" t="n"/>
      <c r="N135" s="8" t="n"/>
      <c r="O135" s="6" t="n"/>
      <c r="P135" s="12" t="n"/>
      <c r="Q135" s="6" t="n"/>
      <c r="S135" s="6" t="n"/>
      <c r="U135" s="6" t="n"/>
      <c r="V135" s="12">
        <f>IF(OR(M135="",N135=""),"",IF(OR(I135="Orden pagada",I135="Convenio firmado",I135="Perdida"),"",M135*N135))</f>
        <v/>
      </c>
    </row>
    <row r="136">
      <c r="G136" s="6" t="n"/>
      <c r="J136" s="6" t="n"/>
      <c r="M136" s="12" t="n"/>
      <c r="N136" s="8" t="n"/>
      <c r="O136" s="6" t="n"/>
      <c r="P136" s="12" t="n"/>
      <c r="Q136" s="6" t="n"/>
      <c r="S136" s="6" t="n"/>
      <c r="U136" s="6" t="n"/>
      <c r="V136" s="12">
        <f>IF(OR(M136="",N136=""),"",IF(OR(I136="Orden pagada",I136="Convenio firmado",I136="Perdida"),"",M136*N136))</f>
        <v/>
      </c>
    </row>
    <row r="137">
      <c r="G137" s="6" t="n"/>
      <c r="J137" s="6" t="n"/>
      <c r="M137" s="12" t="n"/>
      <c r="N137" s="8" t="n"/>
      <c r="O137" s="6" t="n"/>
      <c r="P137" s="12" t="n"/>
      <c r="Q137" s="6" t="n"/>
      <c r="S137" s="6" t="n"/>
      <c r="U137" s="6" t="n"/>
      <c r="V137" s="12">
        <f>IF(OR(M137="",N137=""),"",IF(OR(I137="Orden pagada",I137="Convenio firmado",I137="Perdida"),"",M137*N137))</f>
        <v/>
      </c>
    </row>
    <row r="138">
      <c r="G138" s="6" t="n"/>
      <c r="J138" s="6" t="n"/>
      <c r="M138" s="12" t="n"/>
      <c r="N138" s="8" t="n"/>
      <c r="O138" s="6" t="n"/>
      <c r="P138" s="12" t="n"/>
      <c r="Q138" s="6" t="n"/>
      <c r="S138" s="6" t="n"/>
      <c r="U138" s="6" t="n"/>
      <c r="V138" s="12">
        <f>IF(OR(M138="",N138=""),"",IF(OR(I138="Orden pagada",I138="Convenio firmado",I138="Perdida"),"",M138*N138))</f>
        <v/>
      </c>
    </row>
    <row r="139">
      <c r="G139" s="6" t="n"/>
      <c r="J139" s="6" t="n"/>
      <c r="M139" s="12" t="n"/>
      <c r="N139" s="8" t="n"/>
      <c r="O139" s="6" t="n"/>
      <c r="P139" s="12" t="n"/>
      <c r="Q139" s="6" t="n"/>
      <c r="S139" s="6" t="n"/>
      <c r="U139" s="6" t="n"/>
      <c r="V139" s="12">
        <f>IF(OR(M139="",N139=""),"",IF(OR(I139="Orden pagada",I139="Convenio firmado",I139="Perdida"),"",M139*N139))</f>
        <v/>
      </c>
    </row>
    <row r="140">
      <c r="G140" s="6" t="n"/>
      <c r="J140" s="6" t="n"/>
      <c r="M140" s="12" t="n"/>
      <c r="N140" s="8" t="n"/>
      <c r="O140" s="6" t="n"/>
      <c r="P140" s="12" t="n"/>
      <c r="Q140" s="6" t="n"/>
      <c r="S140" s="6" t="n"/>
      <c r="U140" s="6" t="n"/>
      <c r="V140" s="12">
        <f>IF(OR(M140="",N140=""),"",IF(OR(I140="Orden pagada",I140="Convenio firmado",I140="Perdida"),"",M140*N140))</f>
        <v/>
      </c>
    </row>
    <row r="141">
      <c r="G141" s="6" t="n"/>
      <c r="J141" s="6" t="n"/>
      <c r="M141" s="12" t="n"/>
      <c r="N141" s="8" t="n"/>
      <c r="O141" s="6" t="n"/>
      <c r="P141" s="12" t="n"/>
      <c r="Q141" s="6" t="n"/>
      <c r="S141" s="6" t="n"/>
      <c r="U141" s="6" t="n"/>
      <c r="V141" s="12">
        <f>IF(OR(M141="",N141=""),"",IF(OR(I141="Orden pagada",I141="Convenio firmado",I141="Perdida"),"",M141*N141))</f>
        <v/>
      </c>
    </row>
    <row r="142">
      <c r="G142" s="6" t="n"/>
      <c r="J142" s="6" t="n"/>
      <c r="M142" s="12" t="n"/>
      <c r="N142" s="8" t="n"/>
      <c r="O142" s="6" t="n"/>
      <c r="P142" s="12" t="n"/>
      <c r="Q142" s="6" t="n"/>
      <c r="S142" s="6" t="n"/>
      <c r="U142" s="6" t="n"/>
      <c r="V142" s="12">
        <f>IF(OR(M142="",N142=""),"",IF(OR(I142="Orden pagada",I142="Convenio firmado",I142="Perdida"),"",M142*N142))</f>
        <v/>
      </c>
    </row>
    <row r="143">
      <c r="G143" s="6" t="n"/>
      <c r="J143" s="6" t="n"/>
      <c r="M143" s="12" t="n"/>
      <c r="N143" s="8" t="n"/>
      <c r="O143" s="6" t="n"/>
      <c r="P143" s="12" t="n"/>
      <c r="Q143" s="6" t="n"/>
      <c r="S143" s="6" t="n"/>
      <c r="U143" s="6" t="n"/>
      <c r="V143" s="12">
        <f>IF(OR(M143="",N143=""),"",IF(OR(I143="Orden pagada",I143="Convenio firmado",I143="Perdida"),"",M143*N143))</f>
        <v/>
      </c>
    </row>
    <row r="144">
      <c r="G144" s="6" t="n"/>
      <c r="J144" s="6" t="n"/>
      <c r="M144" s="12" t="n"/>
      <c r="N144" s="8" t="n"/>
      <c r="O144" s="6" t="n"/>
      <c r="P144" s="12" t="n"/>
      <c r="Q144" s="6" t="n"/>
      <c r="S144" s="6" t="n"/>
      <c r="U144" s="6" t="n"/>
      <c r="V144" s="12">
        <f>IF(OR(M144="",N144=""),"",IF(OR(I144="Orden pagada",I144="Convenio firmado",I144="Perdida"),"",M144*N144))</f>
        <v/>
      </c>
    </row>
    <row r="145">
      <c r="G145" s="6" t="n"/>
      <c r="J145" s="6" t="n"/>
      <c r="M145" s="12" t="n"/>
      <c r="N145" s="8" t="n"/>
      <c r="O145" s="6" t="n"/>
      <c r="P145" s="12" t="n"/>
      <c r="Q145" s="6" t="n"/>
      <c r="S145" s="6" t="n"/>
      <c r="U145" s="6" t="n"/>
      <c r="V145" s="12">
        <f>IF(OR(M145="",N145=""),"",IF(OR(I145="Orden pagada",I145="Convenio firmado",I145="Perdida"),"",M145*N145))</f>
        <v/>
      </c>
    </row>
    <row r="146">
      <c r="G146" s="6" t="n"/>
      <c r="J146" s="6" t="n"/>
      <c r="M146" s="12" t="n"/>
      <c r="N146" s="8" t="n"/>
      <c r="O146" s="6" t="n"/>
      <c r="P146" s="12" t="n"/>
      <c r="Q146" s="6" t="n"/>
      <c r="S146" s="6" t="n"/>
      <c r="U146" s="6" t="n"/>
      <c r="V146" s="12">
        <f>IF(OR(M146="",N146=""),"",IF(OR(I146="Orden pagada",I146="Convenio firmado",I146="Perdida"),"",M146*N146))</f>
        <v/>
      </c>
    </row>
    <row r="147">
      <c r="G147" s="6" t="n"/>
      <c r="J147" s="6" t="n"/>
      <c r="M147" s="12" t="n"/>
      <c r="N147" s="8" t="n"/>
      <c r="O147" s="6" t="n"/>
      <c r="P147" s="12" t="n"/>
      <c r="Q147" s="6" t="n"/>
      <c r="S147" s="6" t="n"/>
      <c r="U147" s="6" t="n"/>
      <c r="V147" s="12">
        <f>IF(OR(M147="",N147=""),"",IF(OR(I147="Orden pagada",I147="Convenio firmado",I147="Perdida"),"",M147*N147))</f>
        <v/>
      </c>
    </row>
    <row r="148">
      <c r="G148" s="6" t="n"/>
      <c r="J148" s="6" t="n"/>
      <c r="M148" s="12" t="n"/>
      <c r="N148" s="8" t="n"/>
      <c r="O148" s="6" t="n"/>
      <c r="P148" s="12" t="n"/>
      <c r="Q148" s="6" t="n"/>
      <c r="S148" s="6" t="n"/>
      <c r="U148" s="6" t="n"/>
      <c r="V148" s="12">
        <f>IF(OR(M148="",N148=""),"",IF(OR(I148="Orden pagada",I148="Convenio firmado",I148="Perdida"),"",M148*N148))</f>
        <v/>
      </c>
    </row>
    <row r="149">
      <c r="G149" s="6" t="n"/>
      <c r="J149" s="6" t="n"/>
      <c r="M149" s="12" t="n"/>
      <c r="N149" s="8" t="n"/>
      <c r="O149" s="6" t="n"/>
      <c r="P149" s="12" t="n"/>
      <c r="Q149" s="6" t="n"/>
      <c r="S149" s="6" t="n"/>
      <c r="U149" s="6" t="n"/>
      <c r="V149" s="12">
        <f>IF(OR(M149="",N149=""),"",IF(OR(I149="Orden pagada",I149="Convenio firmado",I149="Perdida"),"",M149*N149))</f>
        <v/>
      </c>
    </row>
    <row r="150">
      <c r="G150" s="6" t="n"/>
      <c r="J150" s="6" t="n"/>
      <c r="M150" s="12" t="n"/>
      <c r="N150" s="8" t="n"/>
      <c r="O150" s="6" t="n"/>
      <c r="P150" s="12" t="n"/>
      <c r="Q150" s="6" t="n"/>
      <c r="S150" s="6" t="n"/>
      <c r="U150" s="6" t="n"/>
      <c r="V150" s="12">
        <f>IF(OR(M150="",N150=""),"",IF(OR(I150="Orden pagada",I150="Convenio firmado",I150="Perdida"),"",M150*N150))</f>
        <v/>
      </c>
    </row>
    <row r="151">
      <c r="G151" s="6" t="n"/>
      <c r="J151" s="6" t="n"/>
      <c r="M151" s="12" t="n"/>
      <c r="N151" s="8" t="n"/>
      <c r="O151" s="6" t="n"/>
      <c r="P151" s="12" t="n"/>
      <c r="Q151" s="6" t="n"/>
      <c r="S151" s="6" t="n"/>
      <c r="U151" s="6" t="n"/>
      <c r="V151" s="12">
        <f>IF(OR(M151="",N151=""),"",IF(OR(I151="Orden pagada",I151="Convenio firmado",I151="Perdida"),"",M151*N151))</f>
        <v/>
      </c>
    </row>
    <row r="152">
      <c r="G152" s="6" t="n"/>
      <c r="J152" s="6" t="n"/>
      <c r="M152" s="12" t="n"/>
      <c r="N152" s="8" t="n"/>
      <c r="O152" s="6" t="n"/>
      <c r="P152" s="12" t="n"/>
      <c r="Q152" s="6" t="n"/>
      <c r="S152" s="6" t="n"/>
      <c r="U152" s="6" t="n"/>
      <c r="V152" s="12">
        <f>IF(OR(M152="",N152=""),"",IF(OR(I152="Orden pagada",I152="Convenio firmado",I152="Perdida"),"",M152*N152))</f>
        <v/>
      </c>
    </row>
    <row r="153">
      <c r="G153" s="6" t="n"/>
      <c r="J153" s="6" t="n"/>
      <c r="M153" s="12" t="n"/>
      <c r="N153" s="8" t="n"/>
      <c r="O153" s="6" t="n"/>
      <c r="P153" s="12" t="n"/>
      <c r="Q153" s="6" t="n"/>
      <c r="S153" s="6" t="n"/>
      <c r="U153" s="6" t="n"/>
      <c r="V153" s="12">
        <f>IF(OR(M153="",N153=""),"",IF(OR(I153="Orden pagada",I153="Convenio firmado",I153="Perdida"),"",M153*N153))</f>
        <v/>
      </c>
    </row>
    <row r="154">
      <c r="G154" s="6" t="n"/>
      <c r="J154" s="6" t="n"/>
      <c r="M154" s="12" t="n"/>
      <c r="N154" s="8" t="n"/>
      <c r="O154" s="6" t="n"/>
      <c r="P154" s="12" t="n"/>
      <c r="Q154" s="6" t="n"/>
      <c r="S154" s="6" t="n"/>
      <c r="U154" s="6" t="n"/>
      <c r="V154" s="12">
        <f>IF(OR(M154="",N154=""),"",IF(OR(I154="Orden pagada",I154="Convenio firmado",I154="Perdida"),"",M154*N154))</f>
        <v/>
      </c>
    </row>
    <row r="155">
      <c r="G155" s="6" t="n"/>
      <c r="J155" s="6" t="n"/>
      <c r="M155" s="12" t="n"/>
      <c r="N155" s="8" t="n"/>
      <c r="O155" s="6" t="n"/>
      <c r="P155" s="12" t="n"/>
      <c r="Q155" s="6" t="n"/>
      <c r="S155" s="6" t="n"/>
      <c r="U155" s="6" t="n"/>
      <c r="V155" s="12">
        <f>IF(OR(M155="",N155=""),"",IF(OR(I155="Orden pagada",I155="Convenio firmado",I155="Perdida"),"",M155*N155))</f>
        <v/>
      </c>
    </row>
    <row r="156">
      <c r="G156" s="6" t="n"/>
      <c r="J156" s="6" t="n"/>
      <c r="M156" s="12" t="n"/>
      <c r="N156" s="8" t="n"/>
      <c r="O156" s="6" t="n"/>
      <c r="P156" s="12" t="n"/>
      <c r="Q156" s="6" t="n"/>
      <c r="S156" s="6" t="n"/>
      <c r="U156" s="6" t="n"/>
      <c r="V156" s="12">
        <f>IF(OR(M156="",N156=""),"",IF(OR(I156="Orden pagada",I156="Convenio firmado",I156="Perdida"),"",M156*N156))</f>
        <v/>
      </c>
    </row>
    <row r="157">
      <c r="G157" s="6" t="n"/>
      <c r="J157" s="6" t="n"/>
      <c r="M157" s="12" t="n"/>
      <c r="N157" s="8" t="n"/>
      <c r="O157" s="6" t="n"/>
      <c r="P157" s="12" t="n"/>
      <c r="Q157" s="6" t="n"/>
      <c r="S157" s="6" t="n"/>
      <c r="U157" s="6" t="n"/>
      <c r="V157" s="12">
        <f>IF(OR(M157="",N157=""),"",IF(OR(I157="Orden pagada",I157="Convenio firmado",I157="Perdida"),"",M157*N157))</f>
        <v/>
      </c>
    </row>
    <row r="158">
      <c r="G158" s="6" t="n"/>
      <c r="J158" s="6" t="n"/>
      <c r="M158" s="12" t="n"/>
      <c r="N158" s="8" t="n"/>
      <c r="O158" s="6" t="n"/>
      <c r="P158" s="12" t="n"/>
      <c r="Q158" s="6" t="n"/>
      <c r="S158" s="6" t="n"/>
      <c r="U158" s="6" t="n"/>
      <c r="V158" s="12">
        <f>IF(OR(M158="",N158=""),"",IF(OR(I158="Orden pagada",I158="Convenio firmado",I158="Perdida"),"",M158*N158))</f>
        <v/>
      </c>
    </row>
    <row r="159">
      <c r="G159" s="6" t="n"/>
      <c r="J159" s="6" t="n"/>
      <c r="M159" s="12" t="n"/>
      <c r="N159" s="8" t="n"/>
      <c r="O159" s="6" t="n"/>
      <c r="P159" s="12" t="n"/>
      <c r="Q159" s="6" t="n"/>
      <c r="S159" s="6" t="n"/>
      <c r="U159" s="6" t="n"/>
      <c r="V159" s="12">
        <f>IF(OR(M159="",N159=""),"",IF(OR(I159="Orden pagada",I159="Convenio firmado",I159="Perdida"),"",M159*N159))</f>
        <v/>
      </c>
    </row>
    <row r="160">
      <c r="G160" s="6" t="n"/>
      <c r="J160" s="6" t="n"/>
      <c r="M160" s="12" t="n"/>
      <c r="N160" s="8" t="n"/>
      <c r="O160" s="6" t="n"/>
      <c r="P160" s="12" t="n"/>
      <c r="Q160" s="6" t="n"/>
      <c r="S160" s="6" t="n"/>
      <c r="U160" s="6" t="n"/>
      <c r="V160" s="12">
        <f>IF(OR(M160="",N160=""),"",IF(OR(I160="Orden pagada",I160="Convenio firmado",I160="Perdida"),"",M160*N160))</f>
        <v/>
      </c>
    </row>
    <row r="161">
      <c r="G161" s="6" t="n"/>
      <c r="J161" s="6" t="n"/>
      <c r="M161" s="12" t="n"/>
      <c r="N161" s="8" t="n"/>
      <c r="O161" s="6" t="n"/>
      <c r="P161" s="12" t="n"/>
      <c r="Q161" s="6" t="n"/>
      <c r="S161" s="6" t="n"/>
      <c r="U161" s="6" t="n"/>
      <c r="V161" s="12">
        <f>IF(OR(M161="",N161=""),"",IF(OR(I161="Orden pagada",I161="Convenio firmado",I161="Perdida"),"",M161*N161))</f>
        <v/>
      </c>
    </row>
    <row r="162">
      <c r="G162" s="6" t="n"/>
      <c r="J162" s="6" t="n"/>
      <c r="M162" s="12" t="n"/>
      <c r="N162" s="8" t="n"/>
      <c r="O162" s="6" t="n"/>
      <c r="P162" s="12" t="n"/>
      <c r="Q162" s="6" t="n"/>
      <c r="S162" s="6" t="n"/>
      <c r="U162" s="6" t="n"/>
      <c r="V162" s="12">
        <f>IF(OR(M162="",N162=""),"",IF(OR(I162="Orden pagada",I162="Convenio firmado",I162="Perdida"),"",M162*N162))</f>
        <v/>
      </c>
    </row>
    <row r="163">
      <c r="G163" s="6" t="n"/>
      <c r="J163" s="6" t="n"/>
      <c r="M163" s="12" t="n"/>
      <c r="N163" s="8" t="n"/>
      <c r="O163" s="6" t="n"/>
      <c r="P163" s="12" t="n"/>
      <c r="Q163" s="6" t="n"/>
      <c r="S163" s="6" t="n"/>
      <c r="U163" s="6" t="n"/>
      <c r="V163" s="12">
        <f>IF(OR(M163="",N163=""),"",IF(OR(I163="Orden pagada",I163="Convenio firmado",I163="Perdida"),"",M163*N163))</f>
        <v/>
      </c>
    </row>
    <row r="164">
      <c r="G164" s="6" t="n"/>
      <c r="J164" s="6" t="n"/>
      <c r="M164" s="12" t="n"/>
      <c r="N164" s="8" t="n"/>
      <c r="O164" s="6" t="n"/>
      <c r="P164" s="12" t="n"/>
      <c r="Q164" s="6" t="n"/>
      <c r="S164" s="6" t="n"/>
      <c r="U164" s="6" t="n"/>
      <c r="V164" s="12">
        <f>IF(OR(M164="",N164=""),"",IF(OR(I164="Orden pagada",I164="Convenio firmado",I164="Perdida"),"",M164*N164))</f>
        <v/>
      </c>
    </row>
    <row r="165">
      <c r="G165" s="6" t="n"/>
      <c r="J165" s="6" t="n"/>
      <c r="M165" s="12" t="n"/>
      <c r="N165" s="8" t="n"/>
      <c r="O165" s="6" t="n"/>
      <c r="P165" s="12" t="n"/>
      <c r="Q165" s="6" t="n"/>
      <c r="S165" s="6" t="n"/>
      <c r="U165" s="6" t="n"/>
      <c r="V165" s="12">
        <f>IF(OR(M165="",N165=""),"",IF(OR(I165="Orden pagada",I165="Convenio firmado",I165="Perdida"),"",M165*N165))</f>
        <v/>
      </c>
    </row>
    <row r="166">
      <c r="G166" s="6" t="n"/>
      <c r="J166" s="6" t="n"/>
      <c r="M166" s="12" t="n"/>
      <c r="N166" s="8" t="n"/>
      <c r="O166" s="6" t="n"/>
      <c r="P166" s="12" t="n"/>
      <c r="Q166" s="6" t="n"/>
      <c r="S166" s="6" t="n"/>
      <c r="U166" s="6" t="n"/>
      <c r="V166" s="12">
        <f>IF(OR(M166="",N166=""),"",IF(OR(I166="Orden pagada",I166="Convenio firmado",I166="Perdida"),"",M166*N166))</f>
        <v/>
      </c>
    </row>
    <row r="167">
      <c r="G167" s="6" t="n"/>
      <c r="J167" s="6" t="n"/>
      <c r="M167" s="12" t="n"/>
      <c r="N167" s="8" t="n"/>
      <c r="O167" s="6" t="n"/>
      <c r="P167" s="12" t="n"/>
      <c r="Q167" s="6" t="n"/>
      <c r="S167" s="6" t="n"/>
      <c r="U167" s="6" t="n"/>
      <c r="V167" s="12">
        <f>IF(OR(M167="",N167=""),"",IF(OR(I167="Orden pagada",I167="Convenio firmado",I167="Perdida"),"",M167*N167))</f>
        <v/>
      </c>
    </row>
    <row r="168">
      <c r="G168" s="6" t="n"/>
      <c r="J168" s="6" t="n"/>
      <c r="M168" s="12" t="n"/>
      <c r="N168" s="8" t="n"/>
      <c r="O168" s="6" t="n"/>
      <c r="P168" s="12" t="n"/>
      <c r="Q168" s="6" t="n"/>
      <c r="S168" s="6" t="n"/>
      <c r="U168" s="6" t="n"/>
      <c r="V168" s="12">
        <f>IF(OR(M168="",N168=""),"",IF(OR(I168="Orden pagada",I168="Convenio firmado",I168="Perdida"),"",M168*N168))</f>
        <v/>
      </c>
    </row>
    <row r="169">
      <c r="G169" s="6" t="n"/>
      <c r="J169" s="6" t="n"/>
      <c r="M169" s="12" t="n"/>
      <c r="N169" s="8" t="n"/>
      <c r="O169" s="6" t="n"/>
      <c r="P169" s="12" t="n"/>
      <c r="Q169" s="6" t="n"/>
      <c r="S169" s="6" t="n"/>
      <c r="U169" s="6" t="n"/>
      <c r="V169" s="12">
        <f>IF(OR(M169="",N169=""),"",IF(OR(I169="Orden pagada",I169="Convenio firmado",I169="Perdida"),"",M169*N169))</f>
        <v/>
      </c>
    </row>
    <row r="170">
      <c r="G170" s="6" t="n"/>
      <c r="J170" s="6" t="n"/>
      <c r="M170" s="12" t="n"/>
      <c r="N170" s="8" t="n"/>
      <c r="O170" s="6" t="n"/>
      <c r="P170" s="12" t="n"/>
      <c r="Q170" s="6" t="n"/>
      <c r="S170" s="6" t="n"/>
      <c r="U170" s="6" t="n"/>
      <c r="V170" s="12">
        <f>IF(OR(M170="",N170=""),"",IF(OR(I170="Orden pagada",I170="Convenio firmado",I170="Perdida"),"",M170*N170))</f>
        <v/>
      </c>
    </row>
    <row r="171">
      <c r="G171" s="6" t="n"/>
      <c r="J171" s="6" t="n"/>
      <c r="M171" s="12" t="n"/>
      <c r="N171" s="8" t="n"/>
      <c r="O171" s="6" t="n"/>
      <c r="P171" s="12" t="n"/>
      <c r="Q171" s="6" t="n"/>
      <c r="S171" s="6" t="n"/>
      <c r="U171" s="6" t="n"/>
      <c r="V171" s="12">
        <f>IF(OR(M171="",N171=""),"",IF(OR(I171="Orden pagada",I171="Convenio firmado",I171="Perdida"),"",M171*N171))</f>
        <v/>
      </c>
    </row>
    <row r="172">
      <c r="G172" s="6" t="n"/>
      <c r="J172" s="6" t="n"/>
      <c r="M172" s="12" t="n"/>
      <c r="N172" s="8" t="n"/>
      <c r="O172" s="6" t="n"/>
      <c r="P172" s="12" t="n"/>
      <c r="Q172" s="6" t="n"/>
      <c r="S172" s="6" t="n"/>
      <c r="U172" s="6" t="n"/>
      <c r="V172" s="12">
        <f>IF(OR(M172="",N172=""),"",IF(OR(I172="Orden pagada",I172="Convenio firmado",I172="Perdida"),"",M172*N172))</f>
        <v/>
      </c>
    </row>
    <row r="173">
      <c r="G173" s="6" t="n"/>
      <c r="J173" s="6" t="n"/>
      <c r="M173" s="12" t="n"/>
      <c r="N173" s="8" t="n"/>
      <c r="O173" s="6" t="n"/>
      <c r="P173" s="12" t="n"/>
      <c r="Q173" s="6" t="n"/>
      <c r="S173" s="6" t="n"/>
      <c r="U173" s="6" t="n"/>
      <c r="V173" s="12">
        <f>IF(OR(M173="",N173=""),"",IF(OR(I173="Orden pagada",I173="Convenio firmado",I173="Perdida"),"",M173*N173))</f>
        <v/>
      </c>
    </row>
    <row r="174">
      <c r="G174" s="6" t="n"/>
      <c r="J174" s="6" t="n"/>
      <c r="M174" s="12" t="n"/>
      <c r="N174" s="8" t="n"/>
      <c r="O174" s="6" t="n"/>
      <c r="P174" s="12" t="n"/>
      <c r="Q174" s="6" t="n"/>
      <c r="S174" s="6" t="n"/>
      <c r="U174" s="6" t="n"/>
      <c r="V174" s="12">
        <f>IF(OR(M174="",N174=""),"",IF(OR(I174="Orden pagada",I174="Convenio firmado",I174="Perdida"),"",M174*N174))</f>
        <v/>
      </c>
    </row>
    <row r="175">
      <c r="G175" s="6" t="n"/>
      <c r="J175" s="6" t="n"/>
      <c r="M175" s="12" t="n"/>
      <c r="N175" s="8" t="n"/>
      <c r="O175" s="6" t="n"/>
      <c r="P175" s="12" t="n"/>
      <c r="Q175" s="6" t="n"/>
      <c r="S175" s="6" t="n"/>
      <c r="U175" s="6" t="n"/>
      <c r="V175" s="12">
        <f>IF(OR(M175="",N175=""),"",IF(OR(I175="Orden pagada",I175="Convenio firmado",I175="Perdida"),"",M175*N175))</f>
        <v/>
      </c>
    </row>
    <row r="176">
      <c r="G176" s="6" t="n"/>
      <c r="J176" s="6" t="n"/>
      <c r="M176" s="12" t="n"/>
      <c r="N176" s="8" t="n"/>
      <c r="O176" s="6" t="n"/>
      <c r="P176" s="12" t="n"/>
      <c r="Q176" s="6" t="n"/>
      <c r="S176" s="6" t="n"/>
      <c r="U176" s="6" t="n"/>
      <c r="V176" s="12">
        <f>IF(OR(M176="",N176=""),"",IF(OR(I176="Orden pagada",I176="Convenio firmado",I176="Perdida"),"",M176*N176))</f>
        <v/>
      </c>
    </row>
    <row r="177">
      <c r="G177" s="6" t="n"/>
      <c r="J177" s="6" t="n"/>
      <c r="M177" s="12" t="n"/>
      <c r="N177" s="8" t="n"/>
      <c r="O177" s="6" t="n"/>
      <c r="P177" s="12" t="n"/>
      <c r="Q177" s="6" t="n"/>
      <c r="S177" s="6" t="n"/>
      <c r="U177" s="6" t="n"/>
      <c r="V177" s="12">
        <f>IF(OR(M177="",N177=""),"",IF(OR(I177="Orden pagada",I177="Convenio firmado",I177="Perdida"),"",M177*N177))</f>
        <v/>
      </c>
    </row>
    <row r="178">
      <c r="G178" s="6" t="n"/>
      <c r="J178" s="6" t="n"/>
      <c r="M178" s="12" t="n"/>
      <c r="N178" s="8" t="n"/>
      <c r="O178" s="6" t="n"/>
      <c r="P178" s="12" t="n"/>
      <c r="Q178" s="6" t="n"/>
      <c r="S178" s="6" t="n"/>
      <c r="U178" s="6" t="n"/>
      <c r="V178" s="12">
        <f>IF(OR(M178="",N178=""),"",IF(OR(I178="Orden pagada",I178="Convenio firmado",I178="Perdida"),"",M178*N178))</f>
        <v/>
      </c>
    </row>
    <row r="179">
      <c r="G179" s="6" t="n"/>
      <c r="J179" s="6" t="n"/>
      <c r="M179" s="12" t="n"/>
      <c r="N179" s="8" t="n"/>
      <c r="O179" s="6" t="n"/>
      <c r="P179" s="12" t="n"/>
      <c r="Q179" s="6" t="n"/>
      <c r="S179" s="6" t="n"/>
      <c r="U179" s="6" t="n"/>
      <c r="V179" s="12">
        <f>IF(OR(M179="",N179=""),"",IF(OR(I179="Orden pagada",I179="Convenio firmado",I179="Perdida"),"",M179*N179))</f>
        <v/>
      </c>
    </row>
    <row r="180">
      <c r="G180" s="6" t="n"/>
      <c r="J180" s="6" t="n"/>
      <c r="M180" s="12" t="n"/>
      <c r="N180" s="8" t="n"/>
      <c r="O180" s="6" t="n"/>
      <c r="P180" s="12" t="n"/>
      <c r="Q180" s="6" t="n"/>
      <c r="S180" s="6" t="n"/>
      <c r="U180" s="6" t="n"/>
      <c r="V180" s="12">
        <f>IF(OR(M180="",N180=""),"",IF(OR(I180="Orden pagada",I180="Convenio firmado",I180="Perdida"),"",M180*N180))</f>
        <v/>
      </c>
    </row>
    <row r="181">
      <c r="G181" s="6" t="n"/>
      <c r="J181" s="6" t="n"/>
      <c r="M181" s="12" t="n"/>
      <c r="N181" s="8" t="n"/>
      <c r="O181" s="6" t="n"/>
      <c r="P181" s="12" t="n"/>
      <c r="Q181" s="6" t="n"/>
      <c r="S181" s="6" t="n"/>
      <c r="U181" s="6" t="n"/>
      <c r="V181" s="12">
        <f>IF(OR(M181="",N181=""),"",IF(OR(I181="Orden pagada",I181="Convenio firmado",I181="Perdida"),"",M181*N181))</f>
        <v/>
      </c>
    </row>
    <row r="182">
      <c r="G182" s="6" t="n"/>
      <c r="J182" s="6" t="n"/>
      <c r="M182" s="12" t="n"/>
      <c r="N182" s="8" t="n"/>
      <c r="O182" s="6" t="n"/>
      <c r="P182" s="12" t="n"/>
      <c r="Q182" s="6" t="n"/>
      <c r="S182" s="6" t="n"/>
      <c r="U182" s="6" t="n"/>
      <c r="V182" s="12">
        <f>IF(OR(M182="",N182=""),"",IF(OR(I182="Orden pagada",I182="Convenio firmado",I182="Perdida"),"",M182*N182))</f>
        <v/>
      </c>
    </row>
    <row r="183">
      <c r="G183" s="6" t="n"/>
      <c r="J183" s="6" t="n"/>
      <c r="M183" s="12" t="n"/>
      <c r="N183" s="8" t="n"/>
      <c r="O183" s="6" t="n"/>
      <c r="P183" s="12" t="n"/>
      <c r="Q183" s="6" t="n"/>
      <c r="S183" s="6" t="n"/>
      <c r="U183" s="6" t="n"/>
      <c r="V183" s="12">
        <f>IF(OR(M183="",N183=""),"",IF(OR(I183="Orden pagada",I183="Convenio firmado",I183="Perdida"),"",M183*N183))</f>
        <v/>
      </c>
    </row>
    <row r="184">
      <c r="G184" s="6" t="n"/>
      <c r="J184" s="6" t="n"/>
      <c r="M184" s="12" t="n"/>
      <c r="N184" s="8" t="n"/>
      <c r="O184" s="6" t="n"/>
      <c r="P184" s="12" t="n"/>
      <c r="Q184" s="6" t="n"/>
      <c r="S184" s="6" t="n"/>
      <c r="U184" s="6" t="n"/>
      <c r="V184" s="12">
        <f>IF(OR(M184="",N184=""),"",IF(OR(I184="Orden pagada",I184="Convenio firmado",I184="Perdida"),"",M184*N184))</f>
        <v/>
      </c>
    </row>
    <row r="185">
      <c r="G185" s="6" t="n"/>
      <c r="J185" s="6" t="n"/>
      <c r="M185" s="12" t="n"/>
      <c r="N185" s="8" t="n"/>
      <c r="O185" s="6" t="n"/>
      <c r="P185" s="12" t="n"/>
      <c r="Q185" s="6" t="n"/>
      <c r="S185" s="6" t="n"/>
      <c r="U185" s="6" t="n"/>
      <c r="V185" s="12">
        <f>IF(OR(M185="",N185=""),"",IF(OR(I185="Orden pagada",I185="Convenio firmado",I185="Perdida"),"",M185*N185))</f>
        <v/>
      </c>
    </row>
    <row r="186">
      <c r="G186" s="6" t="n"/>
      <c r="J186" s="6" t="n"/>
      <c r="M186" s="12" t="n"/>
      <c r="N186" s="8" t="n"/>
      <c r="O186" s="6" t="n"/>
      <c r="P186" s="12" t="n"/>
      <c r="Q186" s="6" t="n"/>
      <c r="S186" s="6" t="n"/>
      <c r="U186" s="6" t="n"/>
      <c r="V186" s="12">
        <f>IF(OR(M186="",N186=""),"",IF(OR(I186="Orden pagada",I186="Convenio firmado",I186="Perdida"),"",M186*N186))</f>
        <v/>
      </c>
    </row>
    <row r="187">
      <c r="G187" s="6" t="n"/>
      <c r="J187" s="6" t="n"/>
      <c r="M187" s="12" t="n"/>
      <c r="N187" s="8" t="n"/>
      <c r="O187" s="6" t="n"/>
      <c r="P187" s="12" t="n"/>
      <c r="Q187" s="6" t="n"/>
      <c r="S187" s="6" t="n"/>
      <c r="U187" s="6" t="n"/>
      <c r="V187" s="12">
        <f>IF(OR(M187="",N187=""),"",IF(OR(I187="Orden pagada",I187="Convenio firmado",I187="Perdida"),"",M187*N187))</f>
        <v/>
      </c>
    </row>
    <row r="188">
      <c r="G188" s="6" t="n"/>
      <c r="J188" s="6" t="n"/>
      <c r="M188" s="12" t="n"/>
      <c r="N188" s="8" t="n"/>
      <c r="O188" s="6" t="n"/>
      <c r="P188" s="12" t="n"/>
      <c r="Q188" s="6" t="n"/>
      <c r="S188" s="6" t="n"/>
      <c r="U188" s="6" t="n"/>
      <c r="V188" s="12">
        <f>IF(OR(M188="",N188=""),"",IF(OR(I188="Orden pagada",I188="Convenio firmado",I188="Perdida"),"",M188*N188))</f>
        <v/>
      </c>
    </row>
    <row r="189">
      <c r="G189" s="6" t="n"/>
      <c r="J189" s="6" t="n"/>
      <c r="M189" s="12" t="n"/>
      <c r="N189" s="8" t="n"/>
      <c r="O189" s="6" t="n"/>
      <c r="P189" s="12" t="n"/>
      <c r="Q189" s="6" t="n"/>
      <c r="S189" s="6" t="n"/>
      <c r="U189" s="6" t="n"/>
      <c r="V189" s="12">
        <f>IF(OR(M189="",N189=""),"",IF(OR(I189="Orden pagada",I189="Convenio firmado",I189="Perdida"),"",M189*N189))</f>
        <v/>
      </c>
    </row>
    <row r="190">
      <c r="G190" s="6" t="n"/>
      <c r="J190" s="6" t="n"/>
      <c r="M190" s="12" t="n"/>
      <c r="N190" s="8" t="n"/>
      <c r="O190" s="6" t="n"/>
      <c r="P190" s="12" t="n"/>
      <c r="Q190" s="6" t="n"/>
      <c r="S190" s="6" t="n"/>
      <c r="U190" s="6" t="n"/>
      <c r="V190" s="12">
        <f>IF(OR(M190="",N190=""),"",IF(OR(I190="Orden pagada",I190="Convenio firmado",I190="Perdida"),"",M190*N190))</f>
        <v/>
      </c>
    </row>
    <row r="191">
      <c r="G191" s="6" t="n"/>
      <c r="J191" s="6" t="n"/>
      <c r="M191" s="12" t="n"/>
      <c r="N191" s="8" t="n"/>
      <c r="O191" s="6" t="n"/>
      <c r="P191" s="12" t="n"/>
      <c r="Q191" s="6" t="n"/>
      <c r="S191" s="6" t="n"/>
      <c r="U191" s="6" t="n"/>
      <c r="V191" s="12">
        <f>IF(OR(M191="",N191=""),"",IF(OR(I191="Orden pagada",I191="Convenio firmado",I191="Perdida"),"",M191*N191))</f>
        <v/>
      </c>
    </row>
    <row r="192">
      <c r="G192" s="6" t="n"/>
      <c r="J192" s="6" t="n"/>
      <c r="M192" s="12" t="n"/>
      <c r="N192" s="8" t="n"/>
      <c r="O192" s="6" t="n"/>
      <c r="P192" s="12" t="n"/>
      <c r="Q192" s="6" t="n"/>
      <c r="S192" s="6" t="n"/>
      <c r="U192" s="6" t="n"/>
      <c r="V192" s="12">
        <f>IF(OR(M192="",N192=""),"",IF(OR(I192="Orden pagada",I192="Convenio firmado",I192="Perdida"),"",M192*N192))</f>
        <v/>
      </c>
    </row>
    <row r="193">
      <c r="G193" s="6" t="n"/>
      <c r="J193" s="6" t="n"/>
      <c r="M193" s="12" t="n"/>
      <c r="N193" s="8" t="n"/>
      <c r="O193" s="6" t="n"/>
      <c r="P193" s="12" t="n"/>
      <c r="Q193" s="6" t="n"/>
      <c r="S193" s="6" t="n"/>
      <c r="U193" s="6" t="n"/>
      <c r="V193" s="12">
        <f>IF(OR(M193="",N193=""),"",IF(OR(I193="Orden pagada",I193="Convenio firmado",I193="Perdida"),"",M193*N193))</f>
        <v/>
      </c>
    </row>
    <row r="194">
      <c r="G194" s="6" t="n"/>
      <c r="J194" s="6" t="n"/>
      <c r="M194" s="12" t="n"/>
      <c r="N194" s="8" t="n"/>
      <c r="O194" s="6" t="n"/>
      <c r="P194" s="12" t="n"/>
      <c r="Q194" s="6" t="n"/>
      <c r="S194" s="6" t="n"/>
      <c r="U194" s="6" t="n"/>
      <c r="V194" s="12">
        <f>IF(OR(M194="",N194=""),"",IF(OR(I194="Orden pagada",I194="Convenio firmado",I194="Perdida"),"",M194*N194))</f>
        <v/>
      </c>
    </row>
    <row r="195">
      <c r="G195" s="6" t="n"/>
      <c r="J195" s="6" t="n"/>
      <c r="M195" s="12" t="n"/>
      <c r="N195" s="8" t="n"/>
      <c r="O195" s="6" t="n"/>
      <c r="P195" s="12" t="n"/>
      <c r="Q195" s="6" t="n"/>
      <c r="S195" s="6" t="n"/>
      <c r="U195" s="6" t="n"/>
      <c r="V195" s="12">
        <f>IF(OR(M195="",N195=""),"",IF(OR(I195="Orden pagada",I195="Convenio firmado",I195="Perdida"),"",M195*N195))</f>
        <v/>
      </c>
    </row>
    <row r="196">
      <c r="G196" s="6" t="n"/>
      <c r="J196" s="6" t="n"/>
      <c r="M196" s="12" t="n"/>
      <c r="N196" s="8" t="n"/>
      <c r="O196" s="6" t="n"/>
      <c r="P196" s="12" t="n"/>
      <c r="Q196" s="6" t="n"/>
      <c r="S196" s="6" t="n"/>
      <c r="U196" s="6" t="n"/>
      <c r="V196" s="12">
        <f>IF(OR(M196="",N196=""),"",IF(OR(I196="Orden pagada",I196="Convenio firmado",I196="Perdida"),"",M196*N196))</f>
        <v/>
      </c>
    </row>
    <row r="197">
      <c r="G197" s="6" t="n"/>
      <c r="J197" s="6" t="n"/>
      <c r="M197" s="12" t="n"/>
      <c r="N197" s="8" t="n"/>
      <c r="O197" s="6" t="n"/>
      <c r="P197" s="12" t="n"/>
      <c r="Q197" s="6" t="n"/>
      <c r="S197" s="6" t="n"/>
      <c r="U197" s="6" t="n"/>
      <c r="V197" s="12">
        <f>IF(OR(M197="",N197=""),"",IF(OR(I197="Orden pagada",I197="Convenio firmado",I197="Perdida"),"",M197*N197))</f>
        <v/>
      </c>
    </row>
    <row r="198">
      <c r="G198" s="6" t="n"/>
      <c r="J198" s="6" t="n"/>
      <c r="M198" s="12" t="n"/>
      <c r="N198" s="8" t="n"/>
      <c r="O198" s="6" t="n"/>
      <c r="P198" s="12" t="n"/>
      <c r="Q198" s="6" t="n"/>
      <c r="S198" s="6" t="n"/>
      <c r="U198" s="6" t="n"/>
      <c r="V198" s="12">
        <f>IF(OR(M198="",N198=""),"",IF(OR(I198="Orden pagada",I198="Convenio firmado",I198="Perdida"),"",M198*N198))</f>
        <v/>
      </c>
    </row>
    <row r="199">
      <c r="G199" s="6" t="n"/>
      <c r="J199" s="6" t="n"/>
      <c r="M199" s="12" t="n"/>
      <c r="N199" s="8" t="n"/>
      <c r="O199" s="6" t="n"/>
      <c r="P199" s="12" t="n"/>
      <c r="Q199" s="6" t="n"/>
      <c r="S199" s="6" t="n"/>
      <c r="U199" s="6" t="n"/>
      <c r="V199" s="12">
        <f>IF(OR(M199="",N199=""),"",IF(OR(I199="Orden pagada",I199="Convenio firmado",I199="Perdida"),"",M199*N199))</f>
        <v/>
      </c>
    </row>
    <row r="200">
      <c r="G200" s="6" t="n"/>
      <c r="J200" s="6" t="n"/>
      <c r="M200" s="12" t="n"/>
      <c r="N200" s="8" t="n"/>
      <c r="O200" s="6" t="n"/>
      <c r="P200" s="12" t="n"/>
      <c r="Q200" s="6" t="n"/>
      <c r="S200" s="6" t="n"/>
      <c r="U200" s="6" t="n"/>
      <c r="V200" s="12">
        <f>IF(OR(M200="",N200=""),"",IF(OR(I200="Orden pagada",I200="Convenio firmado",I200="Perdida"),"",M200*N200))</f>
        <v/>
      </c>
    </row>
    <row r="201">
      <c r="G201" s="6" t="n"/>
      <c r="J201" s="6" t="n"/>
      <c r="M201" s="12" t="n"/>
      <c r="N201" s="8" t="n"/>
      <c r="O201" s="6" t="n"/>
      <c r="P201" s="12" t="n"/>
      <c r="Q201" s="6" t="n"/>
      <c r="S201" s="6" t="n"/>
      <c r="U201" s="6" t="n"/>
      <c r="V201" s="12">
        <f>IF(OR(M201="",N201=""),"",IF(OR(I201="Orden pagada",I201="Convenio firmado",I201="Perdida"),"",M201*N201))</f>
        <v/>
      </c>
    </row>
    <row r="202">
      <c r="G202" s="6" t="n"/>
      <c r="J202" s="6" t="n"/>
      <c r="M202" s="12" t="n"/>
      <c r="N202" s="8" t="n"/>
      <c r="O202" s="6" t="n"/>
      <c r="P202" s="12" t="n"/>
      <c r="Q202" s="6" t="n"/>
      <c r="S202" s="6" t="n"/>
      <c r="U202" s="6" t="n"/>
      <c r="V202" s="12">
        <f>IF(OR(M202="",N202=""),"",IF(OR(I202="Orden pagada",I202="Convenio firmado",I202="Perdida"),"",M202*N202))</f>
        <v/>
      </c>
    </row>
    <row r="203">
      <c r="G203" s="6" t="n"/>
      <c r="J203" s="6" t="n"/>
      <c r="M203" s="12" t="n"/>
      <c r="N203" s="8" t="n"/>
      <c r="O203" s="6" t="n"/>
      <c r="P203" s="12" t="n"/>
      <c r="Q203" s="6" t="n"/>
      <c r="S203" s="6" t="n"/>
      <c r="U203" s="6" t="n"/>
      <c r="V203" s="12">
        <f>IF(OR(M203="",N203=""),"",IF(OR(I203="Orden pagada",I203="Convenio firmado",I203="Perdida"),"",M203*N203))</f>
        <v/>
      </c>
    </row>
    <row r="204">
      <c r="G204" s="6" t="n"/>
      <c r="J204" s="6" t="n"/>
      <c r="M204" s="12" t="n"/>
      <c r="N204" s="8" t="n"/>
      <c r="O204" s="6" t="n"/>
      <c r="P204" s="12" t="n"/>
      <c r="Q204" s="6" t="n"/>
      <c r="S204" s="6" t="n"/>
      <c r="U204" s="6" t="n"/>
      <c r="V204" s="12">
        <f>IF(OR(M204="",N204=""),"",IF(OR(I204="Orden pagada",I204="Convenio firmado",I204="Perdida"),"",M204*N204))</f>
        <v/>
      </c>
    </row>
    <row r="205">
      <c r="G205" s="6" t="n"/>
      <c r="J205" s="6" t="n"/>
      <c r="M205" s="12" t="n"/>
      <c r="N205" s="8" t="n"/>
      <c r="O205" s="6" t="n"/>
      <c r="P205" s="12" t="n"/>
      <c r="Q205" s="6" t="n"/>
      <c r="S205" s="6" t="n"/>
      <c r="U205" s="6" t="n"/>
      <c r="V205" s="12">
        <f>IF(OR(M205="",N205=""),"",IF(OR(I205="Orden pagada",I205="Convenio firmado",I205="Perdida"),"",M205*N205))</f>
        <v/>
      </c>
    </row>
    <row r="206">
      <c r="G206" s="6" t="n"/>
      <c r="J206" s="6" t="n"/>
      <c r="M206" s="12" t="n"/>
      <c r="N206" s="8" t="n"/>
      <c r="O206" s="6" t="n"/>
      <c r="P206" s="12" t="n"/>
      <c r="Q206" s="6" t="n"/>
      <c r="S206" s="6" t="n"/>
      <c r="U206" s="6" t="n"/>
      <c r="V206" s="12">
        <f>IF(OR(M206="",N206=""),"",IF(OR(I206="Orden pagada",I206="Convenio firmado",I206="Perdida"),"",M206*N206))</f>
        <v/>
      </c>
    </row>
    <row r="207">
      <c r="G207" s="6" t="n"/>
      <c r="J207" s="6" t="n"/>
      <c r="M207" s="12" t="n"/>
      <c r="N207" s="8" t="n"/>
      <c r="O207" s="6" t="n"/>
      <c r="P207" s="12" t="n"/>
      <c r="Q207" s="6" t="n"/>
      <c r="S207" s="6" t="n"/>
      <c r="U207" s="6" t="n"/>
      <c r="V207" s="12">
        <f>IF(OR(M207="",N207=""),"",IF(OR(I207="Orden pagada",I207="Convenio firmado",I207="Perdida"),"",M207*N207))</f>
        <v/>
      </c>
    </row>
    <row r="208">
      <c r="G208" s="6" t="n"/>
      <c r="J208" s="6" t="n"/>
      <c r="M208" s="12" t="n"/>
      <c r="N208" s="8" t="n"/>
      <c r="O208" s="6" t="n"/>
      <c r="P208" s="12" t="n"/>
      <c r="Q208" s="6" t="n"/>
      <c r="S208" s="6" t="n"/>
      <c r="U208" s="6" t="n"/>
      <c r="V208" s="12">
        <f>IF(OR(M208="",N208=""),"",IF(OR(I208="Orden pagada",I208="Convenio firmado",I208="Perdida"),"",M208*N208))</f>
        <v/>
      </c>
    </row>
    <row r="209">
      <c r="G209" s="6" t="n"/>
      <c r="J209" s="6" t="n"/>
      <c r="M209" s="12" t="n"/>
      <c r="N209" s="8" t="n"/>
      <c r="O209" s="6" t="n"/>
      <c r="P209" s="12" t="n"/>
      <c r="Q209" s="6" t="n"/>
      <c r="S209" s="6" t="n"/>
      <c r="U209" s="6" t="n"/>
      <c r="V209" s="12">
        <f>IF(OR(M209="",N209=""),"",IF(OR(I209="Orden pagada",I209="Convenio firmado",I209="Perdida"),"",M209*N209))</f>
        <v/>
      </c>
    </row>
    <row r="210">
      <c r="G210" s="6" t="n"/>
      <c r="J210" s="6" t="n"/>
      <c r="M210" s="12" t="n"/>
      <c r="N210" s="8" t="n"/>
      <c r="O210" s="6" t="n"/>
      <c r="P210" s="12" t="n"/>
      <c r="Q210" s="6" t="n"/>
      <c r="S210" s="6" t="n"/>
      <c r="U210" s="6" t="n"/>
      <c r="V210" s="12">
        <f>IF(OR(M210="",N210=""),"",IF(OR(I210="Orden pagada",I210="Convenio firmado",I210="Perdida"),"",M210*N210))</f>
        <v/>
      </c>
    </row>
    <row r="211">
      <c r="G211" s="6" t="n"/>
      <c r="J211" s="6" t="n"/>
      <c r="M211" s="12" t="n"/>
      <c r="N211" s="8" t="n"/>
      <c r="O211" s="6" t="n"/>
      <c r="P211" s="12" t="n"/>
      <c r="Q211" s="6" t="n"/>
      <c r="S211" s="6" t="n"/>
      <c r="U211" s="6" t="n"/>
      <c r="V211" s="12">
        <f>IF(OR(M211="",N211=""),"",IF(OR(I211="Orden pagada",I211="Convenio firmado",I211="Perdida"),"",M211*N211))</f>
        <v/>
      </c>
    </row>
    <row r="212">
      <c r="G212" s="6" t="n"/>
      <c r="J212" s="6" t="n"/>
      <c r="M212" s="12" t="n"/>
      <c r="N212" s="8" t="n"/>
      <c r="O212" s="6" t="n"/>
      <c r="P212" s="12" t="n"/>
      <c r="Q212" s="6" t="n"/>
      <c r="S212" s="6" t="n"/>
      <c r="U212" s="6" t="n"/>
      <c r="V212" s="12">
        <f>IF(OR(M212="",N212=""),"",IF(OR(I212="Orden pagada",I212="Convenio firmado",I212="Perdida"),"",M212*N212))</f>
        <v/>
      </c>
    </row>
    <row r="213">
      <c r="G213" s="6" t="n"/>
      <c r="J213" s="6" t="n"/>
      <c r="M213" s="12" t="n"/>
      <c r="N213" s="8" t="n"/>
      <c r="O213" s="6" t="n"/>
      <c r="P213" s="12" t="n"/>
      <c r="Q213" s="6" t="n"/>
      <c r="S213" s="6" t="n"/>
      <c r="U213" s="6" t="n"/>
      <c r="V213" s="12">
        <f>IF(OR(M213="",N213=""),"",IF(OR(I213="Orden pagada",I213="Convenio firmado",I213="Perdida"),"",M213*N213))</f>
        <v/>
      </c>
    </row>
    <row r="214">
      <c r="G214" s="6" t="n"/>
      <c r="J214" s="6" t="n"/>
      <c r="M214" s="12" t="n"/>
      <c r="N214" s="8" t="n"/>
      <c r="O214" s="6" t="n"/>
      <c r="P214" s="12" t="n"/>
      <c r="Q214" s="6" t="n"/>
      <c r="S214" s="6" t="n"/>
      <c r="U214" s="6" t="n"/>
      <c r="V214" s="12">
        <f>IF(OR(M214="",N214=""),"",IF(OR(I214="Orden pagada",I214="Convenio firmado",I214="Perdida"),"",M214*N214))</f>
        <v/>
      </c>
    </row>
    <row r="215">
      <c r="G215" s="6" t="n"/>
      <c r="J215" s="6" t="n"/>
      <c r="M215" s="12" t="n"/>
      <c r="N215" s="8" t="n"/>
      <c r="O215" s="6" t="n"/>
      <c r="P215" s="12" t="n"/>
      <c r="Q215" s="6" t="n"/>
      <c r="S215" s="6" t="n"/>
      <c r="U215" s="6" t="n"/>
      <c r="V215" s="12">
        <f>IF(OR(M215="",N215=""),"",IF(OR(I215="Orden pagada",I215="Convenio firmado",I215="Perdida"),"",M215*N215))</f>
        <v/>
      </c>
    </row>
    <row r="216">
      <c r="G216" s="6" t="n"/>
      <c r="J216" s="6" t="n"/>
      <c r="M216" s="12" t="n"/>
      <c r="N216" s="8" t="n"/>
      <c r="O216" s="6" t="n"/>
      <c r="P216" s="12" t="n"/>
      <c r="Q216" s="6" t="n"/>
      <c r="S216" s="6" t="n"/>
      <c r="U216" s="6" t="n"/>
      <c r="V216" s="12">
        <f>IF(OR(M216="",N216=""),"",IF(OR(I216="Orden pagada",I216="Convenio firmado",I216="Perdida"),"",M216*N216))</f>
        <v/>
      </c>
    </row>
    <row r="217">
      <c r="G217" s="6" t="n"/>
      <c r="J217" s="6" t="n"/>
      <c r="M217" s="12" t="n"/>
      <c r="N217" s="8" t="n"/>
      <c r="O217" s="6" t="n"/>
      <c r="P217" s="12" t="n"/>
      <c r="Q217" s="6" t="n"/>
      <c r="S217" s="6" t="n"/>
      <c r="U217" s="6" t="n"/>
      <c r="V217" s="12">
        <f>IF(OR(M217="",N217=""),"",IF(OR(I217="Orden pagada",I217="Convenio firmado",I217="Perdida"),"",M217*N217))</f>
        <v/>
      </c>
    </row>
    <row r="218">
      <c r="G218" s="6" t="n"/>
      <c r="J218" s="6" t="n"/>
      <c r="M218" s="12" t="n"/>
      <c r="N218" s="8" t="n"/>
      <c r="O218" s="6" t="n"/>
      <c r="P218" s="12" t="n"/>
      <c r="Q218" s="6" t="n"/>
      <c r="S218" s="6" t="n"/>
      <c r="U218" s="6" t="n"/>
      <c r="V218" s="12">
        <f>IF(OR(M218="",N218=""),"",IF(OR(I218="Orden pagada",I218="Convenio firmado",I218="Perdida"),"",M218*N218))</f>
        <v/>
      </c>
    </row>
    <row r="219">
      <c r="G219" s="6" t="n"/>
      <c r="J219" s="6" t="n"/>
      <c r="M219" s="12" t="n"/>
      <c r="N219" s="8" t="n"/>
      <c r="O219" s="6" t="n"/>
      <c r="P219" s="12" t="n"/>
      <c r="Q219" s="6" t="n"/>
      <c r="S219" s="6" t="n"/>
      <c r="U219" s="6" t="n"/>
      <c r="V219" s="12">
        <f>IF(OR(M219="",N219=""),"",IF(OR(I219="Orden pagada",I219="Convenio firmado",I219="Perdida"),"",M219*N219))</f>
        <v/>
      </c>
    </row>
    <row r="220">
      <c r="G220" s="6" t="n"/>
      <c r="J220" s="6" t="n"/>
      <c r="M220" s="12" t="n"/>
      <c r="N220" s="8" t="n"/>
      <c r="O220" s="6" t="n"/>
      <c r="P220" s="12" t="n"/>
      <c r="Q220" s="6" t="n"/>
      <c r="S220" s="6" t="n"/>
      <c r="U220" s="6" t="n"/>
      <c r="V220" s="12">
        <f>IF(OR(M220="",N220=""),"",IF(OR(I220="Orden pagada",I220="Convenio firmado",I220="Perdida"),"",M220*N220))</f>
        <v/>
      </c>
    </row>
    <row r="221">
      <c r="G221" s="6" t="n"/>
      <c r="J221" s="6" t="n"/>
      <c r="M221" s="12" t="n"/>
      <c r="N221" s="8" t="n"/>
      <c r="O221" s="6" t="n"/>
      <c r="P221" s="12" t="n"/>
      <c r="Q221" s="6" t="n"/>
      <c r="S221" s="6" t="n"/>
      <c r="U221" s="6" t="n"/>
      <c r="V221" s="12">
        <f>IF(OR(M221="",N221=""),"",IF(OR(I221="Orden pagada",I221="Convenio firmado",I221="Perdida"),"",M221*N221))</f>
        <v/>
      </c>
    </row>
    <row r="222">
      <c r="G222" s="6" t="n"/>
      <c r="J222" s="6" t="n"/>
      <c r="M222" s="12" t="n"/>
      <c r="N222" s="8" t="n"/>
      <c r="O222" s="6" t="n"/>
      <c r="P222" s="12" t="n"/>
      <c r="Q222" s="6" t="n"/>
      <c r="S222" s="6" t="n"/>
      <c r="U222" s="6" t="n"/>
      <c r="V222" s="12">
        <f>IF(OR(M222="",N222=""),"",IF(OR(I222="Orden pagada",I222="Convenio firmado",I222="Perdida"),"",M222*N222))</f>
        <v/>
      </c>
    </row>
    <row r="223">
      <c r="G223" s="6" t="n"/>
      <c r="J223" s="6" t="n"/>
      <c r="M223" s="12" t="n"/>
      <c r="N223" s="8" t="n"/>
      <c r="O223" s="6" t="n"/>
      <c r="P223" s="12" t="n"/>
      <c r="Q223" s="6" t="n"/>
      <c r="S223" s="6" t="n"/>
      <c r="U223" s="6" t="n"/>
      <c r="V223" s="12">
        <f>IF(OR(M223="",N223=""),"",IF(OR(I223="Orden pagada",I223="Convenio firmado",I223="Perdida"),"",M223*N223))</f>
        <v/>
      </c>
    </row>
    <row r="224">
      <c r="G224" s="6" t="n"/>
      <c r="J224" s="6" t="n"/>
      <c r="M224" s="12" t="n"/>
      <c r="N224" s="8" t="n"/>
      <c r="O224" s="6" t="n"/>
      <c r="P224" s="12" t="n"/>
      <c r="Q224" s="6" t="n"/>
      <c r="S224" s="6" t="n"/>
      <c r="U224" s="6" t="n"/>
      <c r="V224" s="12">
        <f>IF(OR(M224="",N224=""),"",IF(OR(I224="Orden pagada",I224="Convenio firmado",I224="Perdida"),"",M224*N224))</f>
        <v/>
      </c>
    </row>
    <row r="225">
      <c r="G225" s="6" t="n"/>
      <c r="J225" s="6" t="n"/>
      <c r="M225" s="12" t="n"/>
      <c r="N225" s="8" t="n"/>
      <c r="O225" s="6" t="n"/>
      <c r="P225" s="12" t="n"/>
      <c r="Q225" s="6" t="n"/>
      <c r="S225" s="6" t="n"/>
      <c r="U225" s="6" t="n"/>
      <c r="V225" s="12">
        <f>IF(OR(M225="",N225=""),"",IF(OR(I225="Orden pagada",I225="Convenio firmado",I225="Perdida"),"",M225*N225))</f>
        <v/>
      </c>
    </row>
    <row r="226">
      <c r="G226" s="6" t="n"/>
      <c r="J226" s="6" t="n"/>
      <c r="M226" s="12" t="n"/>
      <c r="N226" s="8" t="n"/>
      <c r="O226" s="6" t="n"/>
      <c r="P226" s="12" t="n"/>
      <c r="Q226" s="6" t="n"/>
      <c r="S226" s="6" t="n"/>
      <c r="U226" s="6" t="n"/>
      <c r="V226" s="12">
        <f>IF(OR(M226="",N226=""),"",IF(OR(I226="Orden pagada",I226="Convenio firmado",I226="Perdida"),"",M226*N226))</f>
        <v/>
      </c>
    </row>
    <row r="227">
      <c r="G227" s="6" t="n"/>
      <c r="J227" s="6" t="n"/>
      <c r="M227" s="12" t="n"/>
      <c r="N227" s="8" t="n"/>
      <c r="O227" s="6" t="n"/>
      <c r="P227" s="12" t="n"/>
      <c r="Q227" s="6" t="n"/>
      <c r="S227" s="6" t="n"/>
      <c r="U227" s="6" t="n"/>
      <c r="V227" s="12">
        <f>IF(OR(M227="",N227=""),"",IF(OR(I227="Orden pagada",I227="Convenio firmado",I227="Perdida"),"",M227*N227))</f>
        <v/>
      </c>
    </row>
    <row r="228">
      <c r="G228" s="6" t="n"/>
      <c r="J228" s="6" t="n"/>
      <c r="M228" s="12" t="n"/>
      <c r="N228" s="8" t="n"/>
      <c r="O228" s="6" t="n"/>
      <c r="P228" s="12" t="n"/>
      <c r="Q228" s="6" t="n"/>
      <c r="S228" s="6" t="n"/>
      <c r="U228" s="6" t="n"/>
      <c r="V228" s="12">
        <f>IF(OR(M228="",N228=""),"",IF(OR(I228="Orden pagada",I228="Convenio firmado",I228="Perdida"),"",M228*N228))</f>
        <v/>
      </c>
    </row>
    <row r="229">
      <c r="G229" s="6" t="n"/>
      <c r="J229" s="6" t="n"/>
      <c r="M229" s="12" t="n"/>
      <c r="N229" s="8" t="n"/>
      <c r="O229" s="6" t="n"/>
      <c r="P229" s="12" t="n"/>
      <c r="Q229" s="6" t="n"/>
      <c r="S229" s="6" t="n"/>
      <c r="U229" s="6" t="n"/>
      <c r="V229" s="12">
        <f>IF(OR(M229="",N229=""),"",IF(OR(I229="Orden pagada",I229="Convenio firmado",I229="Perdida"),"",M229*N229))</f>
        <v/>
      </c>
    </row>
    <row r="230">
      <c r="G230" s="6" t="n"/>
      <c r="J230" s="6" t="n"/>
      <c r="M230" s="12" t="n"/>
      <c r="N230" s="8" t="n"/>
      <c r="O230" s="6" t="n"/>
      <c r="P230" s="12" t="n"/>
      <c r="Q230" s="6" t="n"/>
      <c r="S230" s="6" t="n"/>
      <c r="U230" s="6" t="n"/>
      <c r="V230" s="12">
        <f>IF(OR(M230="",N230=""),"",IF(OR(I230="Orden pagada",I230="Convenio firmado",I230="Perdida"),"",M230*N230))</f>
        <v/>
      </c>
    </row>
    <row r="231">
      <c r="G231" s="6" t="n"/>
      <c r="J231" s="6" t="n"/>
      <c r="M231" s="12" t="n"/>
      <c r="N231" s="8" t="n"/>
      <c r="O231" s="6" t="n"/>
      <c r="P231" s="12" t="n"/>
      <c r="Q231" s="6" t="n"/>
      <c r="S231" s="6" t="n"/>
      <c r="U231" s="6" t="n"/>
      <c r="V231" s="12">
        <f>IF(OR(M231="",N231=""),"",IF(OR(I231="Orden pagada",I231="Convenio firmado",I231="Perdida"),"",M231*N231))</f>
        <v/>
      </c>
    </row>
    <row r="232">
      <c r="G232" s="6" t="n"/>
      <c r="J232" s="6" t="n"/>
      <c r="M232" s="12" t="n"/>
      <c r="N232" s="8" t="n"/>
      <c r="O232" s="6" t="n"/>
      <c r="P232" s="12" t="n"/>
      <c r="Q232" s="6" t="n"/>
      <c r="S232" s="6" t="n"/>
      <c r="U232" s="6" t="n"/>
      <c r="V232" s="12">
        <f>IF(OR(M232="",N232=""),"",IF(OR(I232="Orden pagada",I232="Convenio firmado",I232="Perdida"),"",M232*N232))</f>
        <v/>
      </c>
    </row>
    <row r="233">
      <c r="G233" s="6" t="n"/>
      <c r="J233" s="6" t="n"/>
      <c r="M233" s="12" t="n"/>
      <c r="N233" s="8" t="n"/>
      <c r="O233" s="6" t="n"/>
      <c r="P233" s="12" t="n"/>
      <c r="Q233" s="6" t="n"/>
      <c r="S233" s="6" t="n"/>
      <c r="U233" s="6" t="n"/>
      <c r="V233" s="12">
        <f>IF(OR(M233="",N233=""),"",IF(OR(I233="Orden pagada",I233="Convenio firmado",I233="Perdida"),"",M233*N233))</f>
        <v/>
      </c>
    </row>
    <row r="234">
      <c r="G234" s="6" t="n"/>
      <c r="J234" s="6" t="n"/>
      <c r="M234" s="12" t="n"/>
      <c r="N234" s="8" t="n"/>
      <c r="O234" s="6" t="n"/>
      <c r="P234" s="12" t="n"/>
      <c r="Q234" s="6" t="n"/>
      <c r="S234" s="6" t="n"/>
      <c r="U234" s="6" t="n"/>
      <c r="V234" s="12">
        <f>IF(OR(M234="",N234=""),"",IF(OR(I234="Orden pagada",I234="Convenio firmado",I234="Perdida"),"",M234*N234))</f>
        <v/>
      </c>
    </row>
    <row r="235">
      <c r="G235" s="6" t="n"/>
      <c r="J235" s="6" t="n"/>
      <c r="M235" s="12" t="n"/>
      <c r="N235" s="8" t="n"/>
      <c r="O235" s="6" t="n"/>
      <c r="P235" s="12" t="n"/>
      <c r="Q235" s="6" t="n"/>
      <c r="S235" s="6" t="n"/>
      <c r="U235" s="6" t="n"/>
      <c r="V235" s="12">
        <f>IF(OR(M235="",N235=""),"",IF(OR(I235="Orden pagada",I235="Convenio firmado",I235="Perdida"),"",M235*N235))</f>
        <v/>
      </c>
    </row>
    <row r="236">
      <c r="G236" s="6" t="n"/>
      <c r="J236" s="6" t="n"/>
      <c r="M236" s="12" t="n"/>
      <c r="N236" s="8" t="n"/>
      <c r="O236" s="6" t="n"/>
      <c r="P236" s="12" t="n"/>
      <c r="Q236" s="6" t="n"/>
      <c r="S236" s="6" t="n"/>
      <c r="U236" s="6" t="n"/>
      <c r="V236" s="12">
        <f>IF(OR(M236="",N236=""),"",IF(OR(I236="Orden pagada",I236="Convenio firmado",I236="Perdida"),"",M236*N236))</f>
        <v/>
      </c>
    </row>
    <row r="237">
      <c r="G237" s="6" t="n"/>
      <c r="J237" s="6" t="n"/>
      <c r="M237" s="12" t="n"/>
      <c r="N237" s="8" t="n"/>
      <c r="O237" s="6" t="n"/>
      <c r="P237" s="12" t="n"/>
      <c r="Q237" s="6" t="n"/>
      <c r="S237" s="6" t="n"/>
      <c r="U237" s="6" t="n"/>
      <c r="V237" s="12">
        <f>IF(OR(M237="",N237=""),"",IF(OR(I237="Orden pagada",I237="Convenio firmado",I237="Perdida"),"",M237*N237))</f>
        <v/>
      </c>
    </row>
    <row r="238">
      <c r="G238" s="6" t="n"/>
      <c r="J238" s="6" t="n"/>
      <c r="M238" s="12" t="n"/>
      <c r="N238" s="8" t="n"/>
      <c r="O238" s="6" t="n"/>
      <c r="P238" s="12" t="n"/>
      <c r="Q238" s="6" t="n"/>
      <c r="S238" s="6" t="n"/>
      <c r="U238" s="6" t="n"/>
      <c r="V238" s="12">
        <f>IF(OR(M238="",N238=""),"",IF(OR(I238="Orden pagada",I238="Convenio firmado",I238="Perdida"),"",M238*N238))</f>
        <v/>
      </c>
    </row>
    <row r="239">
      <c r="G239" s="6" t="n"/>
      <c r="J239" s="6" t="n"/>
      <c r="M239" s="12" t="n"/>
      <c r="N239" s="8" t="n"/>
      <c r="O239" s="6" t="n"/>
      <c r="P239" s="12" t="n"/>
      <c r="Q239" s="6" t="n"/>
      <c r="S239" s="6" t="n"/>
      <c r="U239" s="6" t="n"/>
      <c r="V239" s="12">
        <f>IF(OR(M239="",N239=""),"",IF(OR(I239="Orden pagada",I239="Convenio firmado",I239="Perdida"),"",M239*N239))</f>
        <v/>
      </c>
    </row>
    <row r="240">
      <c r="G240" s="6" t="n"/>
      <c r="J240" s="6" t="n"/>
      <c r="M240" s="12" t="n"/>
      <c r="N240" s="8" t="n"/>
      <c r="O240" s="6" t="n"/>
      <c r="P240" s="12" t="n"/>
      <c r="Q240" s="6" t="n"/>
      <c r="S240" s="6" t="n"/>
      <c r="U240" s="6" t="n"/>
      <c r="V240" s="12">
        <f>IF(OR(M240="",N240=""),"",IF(OR(I240="Orden pagada",I240="Convenio firmado",I240="Perdida"),"",M240*N240))</f>
        <v/>
      </c>
    </row>
    <row r="241">
      <c r="G241" s="6" t="n"/>
      <c r="J241" s="6" t="n"/>
      <c r="M241" s="12" t="n"/>
      <c r="N241" s="8" t="n"/>
      <c r="O241" s="6" t="n"/>
      <c r="P241" s="12" t="n"/>
      <c r="Q241" s="6" t="n"/>
      <c r="S241" s="6" t="n"/>
      <c r="U241" s="6" t="n"/>
      <c r="V241" s="12">
        <f>IF(OR(M241="",N241=""),"",IF(OR(I241="Orden pagada",I241="Convenio firmado",I241="Perdida"),"",M241*N241))</f>
        <v/>
      </c>
    </row>
    <row r="242">
      <c r="G242" s="6" t="n"/>
      <c r="J242" s="6" t="n"/>
      <c r="M242" s="12" t="n"/>
      <c r="N242" s="8" t="n"/>
      <c r="O242" s="6" t="n"/>
      <c r="P242" s="12" t="n"/>
      <c r="Q242" s="6" t="n"/>
      <c r="S242" s="6" t="n"/>
      <c r="U242" s="6" t="n"/>
      <c r="V242" s="12">
        <f>IF(OR(M242="",N242=""),"",IF(OR(I242="Orden pagada",I242="Convenio firmado",I242="Perdida"),"",M242*N242))</f>
        <v/>
      </c>
    </row>
    <row r="243">
      <c r="G243" s="6" t="n"/>
      <c r="J243" s="6" t="n"/>
      <c r="M243" s="12" t="n"/>
      <c r="N243" s="8" t="n"/>
      <c r="O243" s="6" t="n"/>
      <c r="P243" s="12" t="n"/>
      <c r="Q243" s="6" t="n"/>
      <c r="S243" s="6" t="n"/>
      <c r="U243" s="6" t="n"/>
      <c r="V243" s="12">
        <f>IF(OR(M243="",N243=""),"",IF(OR(I243="Orden pagada",I243="Convenio firmado",I243="Perdida"),"",M243*N243))</f>
        <v/>
      </c>
    </row>
    <row r="244">
      <c r="G244" s="6" t="n"/>
      <c r="J244" s="6" t="n"/>
      <c r="M244" s="12" t="n"/>
      <c r="N244" s="8" t="n"/>
      <c r="O244" s="6" t="n"/>
      <c r="P244" s="12" t="n"/>
      <c r="Q244" s="6" t="n"/>
      <c r="S244" s="6" t="n"/>
      <c r="U244" s="6" t="n"/>
      <c r="V244" s="12">
        <f>IF(OR(M244="",N244=""),"",IF(OR(I244="Orden pagada",I244="Convenio firmado",I244="Perdida"),"",M244*N244))</f>
        <v/>
      </c>
    </row>
    <row r="245">
      <c r="G245" s="6" t="n"/>
      <c r="J245" s="6" t="n"/>
      <c r="M245" s="12" t="n"/>
      <c r="N245" s="8" t="n"/>
      <c r="O245" s="6" t="n"/>
      <c r="P245" s="12" t="n"/>
      <c r="Q245" s="6" t="n"/>
      <c r="S245" s="6" t="n"/>
      <c r="U245" s="6" t="n"/>
      <c r="V245" s="12">
        <f>IF(OR(M245="",N245=""),"",IF(OR(I245="Orden pagada",I245="Convenio firmado",I245="Perdida"),"",M245*N245))</f>
        <v/>
      </c>
    </row>
    <row r="246">
      <c r="G246" s="6" t="n"/>
      <c r="J246" s="6" t="n"/>
      <c r="M246" s="12" t="n"/>
      <c r="N246" s="8" t="n"/>
      <c r="O246" s="6" t="n"/>
      <c r="P246" s="12" t="n"/>
      <c r="Q246" s="6" t="n"/>
      <c r="S246" s="6" t="n"/>
      <c r="U246" s="6" t="n"/>
      <c r="V246" s="12">
        <f>IF(OR(M246="",N246=""),"",IF(OR(I246="Orden pagada",I246="Convenio firmado",I246="Perdida"),"",M246*N246))</f>
        <v/>
      </c>
    </row>
    <row r="247">
      <c r="G247" s="6" t="n"/>
      <c r="J247" s="6" t="n"/>
      <c r="M247" s="12" t="n"/>
      <c r="N247" s="8" t="n"/>
      <c r="O247" s="6" t="n"/>
      <c r="P247" s="12" t="n"/>
      <c r="Q247" s="6" t="n"/>
      <c r="S247" s="6" t="n"/>
      <c r="U247" s="6" t="n"/>
      <c r="V247" s="12">
        <f>IF(OR(M247="",N247=""),"",IF(OR(I247="Orden pagada",I247="Convenio firmado",I247="Perdida"),"",M247*N247))</f>
        <v/>
      </c>
    </row>
    <row r="248">
      <c r="G248" s="6" t="n"/>
      <c r="J248" s="6" t="n"/>
      <c r="M248" s="12" t="n"/>
      <c r="N248" s="8" t="n"/>
      <c r="O248" s="6" t="n"/>
      <c r="P248" s="12" t="n"/>
      <c r="Q248" s="6" t="n"/>
      <c r="S248" s="6" t="n"/>
      <c r="U248" s="6" t="n"/>
      <c r="V248" s="12">
        <f>IF(OR(M248="",N248=""),"",IF(OR(I248="Orden pagada",I248="Convenio firmado",I248="Perdida"),"",M248*N248))</f>
        <v/>
      </c>
    </row>
    <row r="249">
      <c r="G249" s="6" t="n"/>
      <c r="J249" s="6" t="n"/>
      <c r="M249" s="12" t="n"/>
      <c r="N249" s="8" t="n"/>
      <c r="O249" s="6" t="n"/>
      <c r="P249" s="12" t="n"/>
      <c r="Q249" s="6" t="n"/>
      <c r="S249" s="6" t="n"/>
      <c r="U249" s="6" t="n"/>
      <c r="V249" s="12">
        <f>IF(OR(M249="",N249=""),"",IF(OR(I249="Orden pagada",I249="Convenio firmado",I249="Perdida"),"",M249*N249))</f>
        <v/>
      </c>
    </row>
    <row r="250">
      <c r="G250" s="6" t="n"/>
      <c r="J250" s="6" t="n"/>
      <c r="M250" s="12" t="n"/>
      <c r="N250" s="8" t="n"/>
      <c r="O250" s="6" t="n"/>
      <c r="P250" s="12" t="n"/>
      <c r="Q250" s="6" t="n"/>
      <c r="S250" s="6" t="n"/>
      <c r="U250" s="6" t="n"/>
      <c r="V250" s="12">
        <f>IF(OR(M250="",N250=""),"",IF(OR(I250="Orden pagada",I250="Convenio firmado",I250="Perdida"),"",M250*N250))</f>
        <v/>
      </c>
    </row>
    <row r="251">
      <c r="G251" s="6" t="n"/>
      <c r="J251" s="6" t="n"/>
      <c r="M251" s="12" t="n"/>
      <c r="N251" s="8" t="n"/>
      <c r="O251" s="6" t="n"/>
      <c r="P251" s="12" t="n"/>
      <c r="Q251" s="6" t="n"/>
      <c r="S251" s="6" t="n"/>
      <c r="U251" s="6" t="n"/>
      <c r="V251" s="12">
        <f>IF(OR(M251="",N251=""),"",IF(OR(I251="Orden pagada",I251="Convenio firmado",I251="Perdida"),"",M251*N251))</f>
        <v/>
      </c>
    </row>
    <row r="252">
      <c r="G252" s="6" t="n"/>
      <c r="J252" s="6" t="n"/>
      <c r="M252" s="12" t="n"/>
      <c r="N252" s="8" t="n"/>
      <c r="O252" s="6" t="n"/>
      <c r="P252" s="12" t="n"/>
      <c r="Q252" s="6" t="n"/>
      <c r="S252" s="6" t="n"/>
      <c r="U252" s="6" t="n"/>
      <c r="V252" s="12">
        <f>IF(OR(M252="",N252=""),"",IF(OR(I252="Orden pagada",I252="Convenio firmado",I252="Perdida"),"",M252*N252))</f>
        <v/>
      </c>
    </row>
    <row r="253">
      <c r="G253" s="6" t="n"/>
      <c r="J253" s="6" t="n"/>
      <c r="M253" s="12" t="n"/>
      <c r="N253" s="8" t="n"/>
      <c r="O253" s="6" t="n"/>
      <c r="P253" s="12" t="n"/>
      <c r="Q253" s="6" t="n"/>
      <c r="S253" s="6" t="n"/>
      <c r="U253" s="6" t="n"/>
      <c r="V253" s="12">
        <f>IF(OR(M253="",N253=""),"",IF(OR(I253="Orden pagada",I253="Convenio firmado",I253="Perdida"),"",M253*N253))</f>
        <v/>
      </c>
    </row>
    <row r="254">
      <c r="G254" s="6" t="n"/>
      <c r="J254" s="6" t="n"/>
      <c r="M254" s="12" t="n"/>
      <c r="N254" s="8" t="n"/>
      <c r="O254" s="6" t="n"/>
      <c r="P254" s="12" t="n"/>
      <c r="Q254" s="6" t="n"/>
      <c r="S254" s="6" t="n"/>
      <c r="U254" s="6" t="n"/>
      <c r="V254" s="12">
        <f>IF(OR(M254="",N254=""),"",IF(OR(I254="Orden pagada",I254="Convenio firmado",I254="Perdida"),"",M254*N254))</f>
        <v/>
      </c>
    </row>
    <row r="255">
      <c r="G255" s="6" t="n"/>
      <c r="J255" s="6" t="n"/>
      <c r="M255" s="12" t="n"/>
      <c r="N255" s="8" t="n"/>
      <c r="O255" s="6" t="n"/>
      <c r="P255" s="12" t="n"/>
      <c r="Q255" s="6" t="n"/>
      <c r="S255" s="6" t="n"/>
      <c r="U255" s="6" t="n"/>
      <c r="V255" s="12">
        <f>IF(OR(M255="",N255=""),"",IF(OR(I255="Orden pagada",I255="Convenio firmado",I255="Perdida"),"",M255*N255))</f>
        <v/>
      </c>
    </row>
    <row r="256">
      <c r="G256" s="6" t="n"/>
      <c r="J256" s="6" t="n"/>
      <c r="M256" s="12" t="n"/>
      <c r="N256" s="8" t="n"/>
      <c r="O256" s="6" t="n"/>
      <c r="P256" s="12" t="n"/>
      <c r="Q256" s="6" t="n"/>
      <c r="S256" s="6" t="n"/>
      <c r="U256" s="6" t="n"/>
      <c r="V256" s="12">
        <f>IF(OR(M256="",N256=""),"",IF(OR(I256="Orden pagada",I256="Convenio firmado",I256="Perdida"),"",M256*N256))</f>
        <v/>
      </c>
    </row>
    <row r="257">
      <c r="G257" s="6" t="n"/>
      <c r="J257" s="6" t="n"/>
      <c r="M257" s="12" t="n"/>
      <c r="N257" s="8" t="n"/>
      <c r="O257" s="6" t="n"/>
      <c r="P257" s="12" t="n"/>
      <c r="Q257" s="6" t="n"/>
      <c r="S257" s="6" t="n"/>
      <c r="U257" s="6" t="n"/>
      <c r="V257" s="12">
        <f>IF(OR(M257="",N257=""),"",IF(OR(I257="Orden pagada",I257="Convenio firmado",I257="Perdida"),"",M257*N257))</f>
        <v/>
      </c>
    </row>
    <row r="258">
      <c r="G258" s="6" t="n"/>
      <c r="J258" s="6" t="n"/>
      <c r="M258" s="12" t="n"/>
      <c r="N258" s="8" t="n"/>
      <c r="O258" s="6" t="n"/>
      <c r="P258" s="12" t="n"/>
      <c r="Q258" s="6" t="n"/>
      <c r="S258" s="6" t="n"/>
      <c r="U258" s="6" t="n"/>
      <c r="V258" s="12">
        <f>IF(OR(M258="",N258=""),"",IF(OR(I258="Orden pagada",I258="Convenio firmado",I258="Perdida"),"",M258*N258))</f>
        <v/>
      </c>
    </row>
    <row r="259">
      <c r="G259" s="6" t="n"/>
      <c r="J259" s="6" t="n"/>
      <c r="M259" s="12" t="n"/>
      <c r="N259" s="8" t="n"/>
      <c r="O259" s="6" t="n"/>
      <c r="P259" s="12" t="n"/>
      <c r="Q259" s="6" t="n"/>
      <c r="S259" s="6" t="n"/>
      <c r="U259" s="6" t="n"/>
      <c r="V259" s="12">
        <f>IF(OR(M259="",N259=""),"",IF(OR(I259="Orden pagada",I259="Convenio firmado",I259="Perdida"),"",M259*N259))</f>
        <v/>
      </c>
    </row>
    <row r="260">
      <c r="G260" s="6" t="n"/>
      <c r="J260" s="6" t="n"/>
      <c r="M260" s="12" t="n"/>
      <c r="N260" s="8" t="n"/>
      <c r="O260" s="6" t="n"/>
      <c r="P260" s="12" t="n"/>
      <c r="Q260" s="6" t="n"/>
      <c r="S260" s="6" t="n"/>
      <c r="U260" s="6" t="n"/>
      <c r="V260" s="12">
        <f>IF(OR(M260="",N260=""),"",IF(OR(I260="Orden pagada",I260="Convenio firmado",I260="Perdida"),"",M260*N260))</f>
        <v/>
      </c>
    </row>
    <row r="261">
      <c r="G261" s="6" t="n"/>
      <c r="J261" s="6" t="n"/>
      <c r="M261" s="12" t="n"/>
      <c r="N261" s="8" t="n"/>
      <c r="O261" s="6" t="n"/>
      <c r="P261" s="12" t="n"/>
      <c r="Q261" s="6" t="n"/>
      <c r="S261" s="6" t="n"/>
      <c r="U261" s="6" t="n"/>
      <c r="V261" s="12">
        <f>IF(OR(M261="",N261=""),"",IF(OR(I261="Orden pagada",I261="Convenio firmado",I261="Perdida"),"",M261*N261))</f>
        <v/>
      </c>
    </row>
    <row r="262">
      <c r="G262" s="6" t="n"/>
      <c r="J262" s="6" t="n"/>
      <c r="M262" s="12" t="n"/>
      <c r="N262" s="8" t="n"/>
      <c r="O262" s="6" t="n"/>
      <c r="P262" s="12" t="n"/>
      <c r="Q262" s="6" t="n"/>
      <c r="S262" s="6" t="n"/>
      <c r="U262" s="6" t="n"/>
      <c r="V262" s="12">
        <f>IF(OR(M262="",N262=""),"",IF(OR(I262="Orden pagada",I262="Convenio firmado",I262="Perdida"),"",M262*N262))</f>
        <v/>
      </c>
    </row>
    <row r="263">
      <c r="G263" s="6" t="n"/>
      <c r="J263" s="6" t="n"/>
      <c r="M263" s="12" t="n"/>
      <c r="N263" s="8" t="n"/>
      <c r="O263" s="6" t="n"/>
      <c r="P263" s="12" t="n"/>
      <c r="Q263" s="6" t="n"/>
      <c r="S263" s="6" t="n"/>
      <c r="U263" s="6" t="n"/>
      <c r="V263" s="12">
        <f>IF(OR(M263="",N263=""),"",IF(OR(I263="Orden pagada",I263="Convenio firmado",I263="Perdida"),"",M263*N263))</f>
        <v/>
      </c>
    </row>
    <row r="264">
      <c r="G264" s="6" t="n"/>
      <c r="J264" s="6" t="n"/>
      <c r="M264" s="12" t="n"/>
      <c r="N264" s="8" t="n"/>
      <c r="O264" s="6" t="n"/>
      <c r="P264" s="12" t="n"/>
      <c r="Q264" s="6" t="n"/>
      <c r="S264" s="6" t="n"/>
      <c r="U264" s="6" t="n"/>
      <c r="V264" s="12">
        <f>IF(OR(M264="",N264=""),"",IF(OR(I264="Orden pagada",I264="Convenio firmado",I264="Perdida"),"",M264*N264))</f>
        <v/>
      </c>
    </row>
    <row r="265">
      <c r="G265" s="6" t="n"/>
      <c r="J265" s="6" t="n"/>
      <c r="M265" s="12" t="n"/>
      <c r="N265" s="8" t="n"/>
      <c r="O265" s="6" t="n"/>
      <c r="P265" s="12" t="n"/>
      <c r="Q265" s="6" t="n"/>
      <c r="S265" s="6" t="n"/>
      <c r="U265" s="6" t="n"/>
      <c r="V265" s="12">
        <f>IF(OR(M265="",N265=""),"",IF(OR(I265="Orden pagada",I265="Convenio firmado",I265="Perdida"),"",M265*N265))</f>
        <v/>
      </c>
    </row>
    <row r="266">
      <c r="G266" s="6" t="n"/>
      <c r="J266" s="6" t="n"/>
      <c r="M266" s="12" t="n"/>
      <c r="N266" s="8" t="n"/>
      <c r="O266" s="6" t="n"/>
      <c r="P266" s="12" t="n"/>
      <c r="Q266" s="6" t="n"/>
      <c r="S266" s="6" t="n"/>
      <c r="U266" s="6" t="n"/>
      <c r="V266" s="12">
        <f>IF(OR(M266="",N266=""),"",IF(OR(I266="Orden pagada",I266="Convenio firmado",I266="Perdida"),"",M266*N266))</f>
        <v/>
      </c>
    </row>
    <row r="267">
      <c r="G267" s="6" t="n"/>
      <c r="J267" s="6" t="n"/>
      <c r="M267" s="12" t="n"/>
      <c r="N267" s="8" t="n"/>
      <c r="O267" s="6" t="n"/>
      <c r="P267" s="12" t="n"/>
      <c r="Q267" s="6" t="n"/>
      <c r="S267" s="6" t="n"/>
      <c r="U267" s="6" t="n"/>
      <c r="V267" s="12">
        <f>IF(OR(M267="",N267=""),"",IF(OR(I267="Orden pagada",I267="Convenio firmado",I267="Perdida"),"",M267*N267))</f>
        <v/>
      </c>
    </row>
    <row r="268">
      <c r="G268" s="6" t="n"/>
      <c r="J268" s="6" t="n"/>
      <c r="M268" s="12" t="n"/>
      <c r="N268" s="8" t="n"/>
      <c r="O268" s="6" t="n"/>
      <c r="P268" s="12" t="n"/>
      <c r="Q268" s="6" t="n"/>
      <c r="S268" s="6" t="n"/>
      <c r="U268" s="6" t="n"/>
      <c r="V268" s="12">
        <f>IF(OR(M268="",N268=""),"",IF(OR(I268="Orden pagada",I268="Convenio firmado",I268="Perdida"),"",M268*N268))</f>
        <v/>
      </c>
    </row>
    <row r="269">
      <c r="G269" s="6" t="n"/>
      <c r="J269" s="6" t="n"/>
      <c r="M269" s="12" t="n"/>
      <c r="N269" s="8" t="n"/>
      <c r="O269" s="6" t="n"/>
      <c r="P269" s="12" t="n"/>
      <c r="Q269" s="6" t="n"/>
      <c r="S269" s="6" t="n"/>
      <c r="U269" s="6" t="n"/>
      <c r="V269" s="12">
        <f>IF(OR(M269="",N269=""),"",IF(OR(I269="Orden pagada",I269="Convenio firmado",I269="Perdida"),"",M269*N269))</f>
        <v/>
      </c>
    </row>
    <row r="270">
      <c r="G270" s="6" t="n"/>
      <c r="J270" s="6" t="n"/>
      <c r="M270" s="12" t="n"/>
      <c r="N270" s="8" t="n"/>
      <c r="O270" s="6" t="n"/>
      <c r="P270" s="12" t="n"/>
      <c r="Q270" s="6" t="n"/>
      <c r="S270" s="6" t="n"/>
      <c r="U270" s="6" t="n"/>
      <c r="V270" s="12">
        <f>IF(OR(M270="",N270=""),"",IF(OR(I270="Orden pagada",I270="Convenio firmado",I270="Perdida"),"",M270*N270))</f>
        <v/>
      </c>
    </row>
    <row r="271">
      <c r="G271" s="6" t="n"/>
      <c r="J271" s="6" t="n"/>
      <c r="M271" s="12" t="n"/>
      <c r="N271" s="8" t="n"/>
      <c r="O271" s="6" t="n"/>
      <c r="P271" s="12" t="n"/>
      <c r="Q271" s="6" t="n"/>
      <c r="S271" s="6" t="n"/>
      <c r="U271" s="6" t="n"/>
      <c r="V271" s="12">
        <f>IF(OR(M271="",N271=""),"",IF(OR(I271="Orden pagada",I271="Convenio firmado",I271="Perdida"),"",M271*N271))</f>
        <v/>
      </c>
    </row>
    <row r="272">
      <c r="G272" s="6" t="n"/>
      <c r="J272" s="6" t="n"/>
      <c r="M272" s="12" t="n"/>
      <c r="N272" s="8" t="n"/>
      <c r="O272" s="6" t="n"/>
      <c r="P272" s="12" t="n"/>
      <c r="Q272" s="6" t="n"/>
      <c r="S272" s="6" t="n"/>
      <c r="U272" s="6" t="n"/>
      <c r="V272" s="12">
        <f>IF(OR(M272="",N272=""),"",IF(OR(I272="Orden pagada",I272="Convenio firmado",I272="Perdida"),"",M272*N272))</f>
        <v/>
      </c>
    </row>
    <row r="273">
      <c r="G273" s="6" t="n"/>
      <c r="J273" s="6" t="n"/>
      <c r="M273" s="12" t="n"/>
      <c r="N273" s="8" t="n"/>
      <c r="O273" s="6" t="n"/>
      <c r="P273" s="12" t="n"/>
      <c r="Q273" s="6" t="n"/>
      <c r="S273" s="6" t="n"/>
      <c r="U273" s="6" t="n"/>
      <c r="V273" s="12">
        <f>IF(OR(M273="",N273=""),"",IF(OR(I273="Orden pagada",I273="Convenio firmado",I273="Perdida"),"",M273*N273))</f>
        <v/>
      </c>
    </row>
    <row r="274">
      <c r="G274" s="6" t="n"/>
      <c r="J274" s="6" t="n"/>
      <c r="M274" s="12" t="n"/>
      <c r="N274" s="8" t="n"/>
      <c r="O274" s="6" t="n"/>
      <c r="P274" s="12" t="n"/>
      <c r="Q274" s="6" t="n"/>
      <c r="S274" s="6" t="n"/>
      <c r="U274" s="6" t="n"/>
      <c r="V274" s="12">
        <f>IF(OR(M274="",N274=""),"",IF(OR(I274="Orden pagada",I274="Convenio firmado",I274="Perdida"),"",M274*N274))</f>
        <v/>
      </c>
    </row>
    <row r="275">
      <c r="G275" s="6" t="n"/>
      <c r="J275" s="6" t="n"/>
      <c r="M275" s="12" t="n"/>
      <c r="N275" s="8" t="n"/>
      <c r="O275" s="6" t="n"/>
      <c r="P275" s="12" t="n"/>
      <c r="Q275" s="6" t="n"/>
      <c r="S275" s="6" t="n"/>
      <c r="U275" s="6" t="n"/>
      <c r="V275" s="12">
        <f>IF(OR(M275="",N275=""),"",IF(OR(I275="Orden pagada",I275="Convenio firmado",I275="Perdida"),"",M275*N275))</f>
        <v/>
      </c>
    </row>
    <row r="276">
      <c r="G276" s="6" t="n"/>
      <c r="J276" s="6" t="n"/>
      <c r="M276" s="12" t="n"/>
      <c r="N276" s="8" t="n"/>
      <c r="O276" s="6" t="n"/>
      <c r="P276" s="12" t="n"/>
      <c r="Q276" s="6" t="n"/>
      <c r="S276" s="6" t="n"/>
      <c r="U276" s="6" t="n"/>
      <c r="V276" s="12">
        <f>IF(OR(M276="",N276=""),"",IF(OR(I276="Orden pagada",I276="Convenio firmado",I276="Perdida"),"",M276*N276))</f>
        <v/>
      </c>
    </row>
    <row r="277">
      <c r="G277" s="6" t="n"/>
      <c r="J277" s="6" t="n"/>
      <c r="M277" s="12" t="n"/>
      <c r="N277" s="8" t="n"/>
      <c r="O277" s="6" t="n"/>
      <c r="P277" s="12" t="n"/>
      <c r="Q277" s="6" t="n"/>
      <c r="S277" s="6" t="n"/>
      <c r="U277" s="6" t="n"/>
      <c r="V277" s="12">
        <f>IF(OR(M277="",N277=""),"",IF(OR(I277="Orden pagada",I277="Convenio firmado",I277="Perdida"),"",M277*N277))</f>
        <v/>
      </c>
    </row>
    <row r="278">
      <c r="G278" s="6" t="n"/>
      <c r="J278" s="6" t="n"/>
      <c r="M278" s="12" t="n"/>
      <c r="N278" s="8" t="n"/>
      <c r="O278" s="6" t="n"/>
      <c r="P278" s="12" t="n"/>
      <c r="Q278" s="6" t="n"/>
      <c r="S278" s="6" t="n"/>
      <c r="U278" s="6" t="n"/>
      <c r="V278" s="12">
        <f>IF(OR(M278="",N278=""),"",IF(OR(I278="Orden pagada",I278="Convenio firmado",I278="Perdida"),"",M278*N278))</f>
        <v/>
      </c>
    </row>
    <row r="279">
      <c r="G279" s="6" t="n"/>
      <c r="J279" s="6" t="n"/>
      <c r="M279" s="12" t="n"/>
      <c r="N279" s="8" t="n"/>
      <c r="O279" s="6" t="n"/>
      <c r="P279" s="12" t="n"/>
      <c r="Q279" s="6" t="n"/>
      <c r="S279" s="6" t="n"/>
      <c r="U279" s="6" t="n"/>
      <c r="V279" s="12">
        <f>IF(OR(M279="",N279=""),"",IF(OR(I279="Orden pagada",I279="Convenio firmado",I279="Perdida"),"",M279*N279))</f>
        <v/>
      </c>
    </row>
    <row r="280">
      <c r="G280" s="6" t="n"/>
      <c r="J280" s="6" t="n"/>
      <c r="M280" s="12" t="n"/>
      <c r="N280" s="8" t="n"/>
      <c r="O280" s="6" t="n"/>
      <c r="P280" s="12" t="n"/>
      <c r="Q280" s="6" t="n"/>
      <c r="S280" s="6" t="n"/>
      <c r="U280" s="6" t="n"/>
      <c r="V280" s="12">
        <f>IF(OR(M280="",N280=""),"",IF(OR(I280="Orden pagada",I280="Convenio firmado",I280="Perdida"),"",M280*N280))</f>
        <v/>
      </c>
    </row>
    <row r="281">
      <c r="G281" s="6" t="n"/>
      <c r="J281" s="6" t="n"/>
      <c r="M281" s="12" t="n"/>
      <c r="N281" s="8" t="n"/>
      <c r="O281" s="6" t="n"/>
      <c r="P281" s="12" t="n"/>
      <c r="Q281" s="6" t="n"/>
      <c r="S281" s="6" t="n"/>
      <c r="U281" s="6" t="n"/>
      <c r="V281" s="12">
        <f>IF(OR(M281="",N281=""),"",IF(OR(I281="Orden pagada",I281="Convenio firmado",I281="Perdida"),"",M281*N281))</f>
        <v/>
      </c>
    </row>
    <row r="282">
      <c r="G282" s="6" t="n"/>
      <c r="J282" s="6" t="n"/>
      <c r="M282" s="12" t="n"/>
      <c r="N282" s="8" t="n"/>
      <c r="O282" s="6" t="n"/>
      <c r="P282" s="12" t="n"/>
      <c r="Q282" s="6" t="n"/>
      <c r="S282" s="6" t="n"/>
      <c r="U282" s="6" t="n"/>
      <c r="V282" s="12">
        <f>IF(OR(M282="",N282=""),"",IF(OR(I282="Orden pagada",I282="Convenio firmado",I282="Perdida"),"",M282*N282))</f>
        <v/>
      </c>
    </row>
    <row r="283">
      <c r="G283" s="6" t="n"/>
      <c r="J283" s="6" t="n"/>
      <c r="M283" s="12" t="n"/>
      <c r="N283" s="8" t="n"/>
      <c r="O283" s="6" t="n"/>
      <c r="P283" s="12" t="n"/>
      <c r="Q283" s="6" t="n"/>
      <c r="S283" s="6" t="n"/>
      <c r="U283" s="6" t="n"/>
      <c r="V283" s="12">
        <f>IF(OR(M283="",N283=""),"",IF(OR(I283="Orden pagada",I283="Convenio firmado",I283="Perdida"),"",M283*N283))</f>
        <v/>
      </c>
    </row>
    <row r="284">
      <c r="G284" s="6" t="n"/>
      <c r="J284" s="6" t="n"/>
      <c r="M284" s="12" t="n"/>
      <c r="N284" s="8" t="n"/>
      <c r="O284" s="6" t="n"/>
      <c r="P284" s="12" t="n"/>
      <c r="Q284" s="6" t="n"/>
      <c r="S284" s="6" t="n"/>
      <c r="U284" s="6" t="n"/>
      <c r="V284" s="12">
        <f>IF(OR(M284="",N284=""),"",IF(OR(I284="Orden pagada",I284="Convenio firmado",I284="Perdida"),"",M284*N284))</f>
        <v/>
      </c>
    </row>
    <row r="285">
      <c r="G285" s="6" t="n"/>
      <c r="J285" s="6" t="n"/>
      <c r="M285" s="12" t="n"/>
      <c r="N285" s="8" t="n"/>
      <c r="O285" s="6" t="n"/>
      <c r="P285" s="12" t="n"/>
      <c r="Q285" s="6" t="n"/>
      <c r="S285" s="6" t="n"/>
      <c r="U285" s="6" t="n"/>
      <c r="V285" s="12">
        <f>IF(OR(M285="",N285=""),"",IF(OR(I285="Orden pagada",I285="Convenio firmado",I285="Perdida"),"",M285*N285))</f>
        <v/>
      </c>
    </row>
    <row r="286">
      <c r="G286" s="6" t="n"/>
      <c r="J286" s="6" t="n"/>
      <c r="M286" s="12" t="n"/>
      <c r="N286" s="8" t="n"/>
      <c r="O286" s="6" t="n"/>
      <c r="P286" s="12" t="n"/>
      <c r="Q286" s="6" t="n"/>
      <c r="S286" s="6" t="n"/>
      <c r="U286" s="6" t="n"/>
      <c r="V286" s="12">
        <f>IF(OR(M286="",N286=""),"",IF(OR(I286="Orden pagada",I286="Convenio firmado",I286="Perdida"),"",M286*N286))</f>
        <v/>
      </c>
    </row>
    <row r="287">
      <c r="G287" s="6" t="n"/>
      <c r="J287" s="6" t="n"/>
      <c r="M287" s="12" t="n"/>
      <c r="N287" s="8" t="n"/>
      <c r="O287" s="6" t="n"/>
      <c r="P287" s="12" t="n"/>
      <c r="Q287" s="6" t="n"/>
      <c r="S287" s="6" t="n"/>
      <c r="U287" s="6" t="n"/>
      <c r="V287" s="12">
        <f>IF(OR(M287="",N287=""),"",IF(OR(I287="Orden pagada",I287="Convenio firmado",I287="Perdida"),"",M287*N287))</f>
        <v/>
      </c>
    </row>
    <row r="288">
      <c r="G288" s="6" t="n"/>
      <c r="J288" s="6" t="n"/>
      <c r="M288" s="12" t="n"/>
      <c r="N288" s="8" t="n"/>
      <c r="O288" s="6" t="n"/>
      <c r="P288" s="12" t="n"/>
      <c r="Q288" s="6" t="n"/>
      <c r="S288" s="6" t="n"/>
      <c r="U288" s="6" t="n"/>
      <c r="V288" s="12">
        <f>IF(OR(M288="",N288=""),"",IF(OR(I288="Orden pagada",I288="Convenio firmado",I288="Perdida"),"",M288*N288))</f>
        <v/>
      </c>
    </row>
    <row r="289">
      <c r="G289" s="6" t="n"/>
      <c r="J289" s="6" t="n"/>
      <c r="M289" s="12" t="n"/>
      <c r="N289" s="8" t="n"/>
      <c r="O289" s="6" t="n"/>
      <c r="P289" s="12" t="n"/>
      <c r="Q289" s="6" t="n"/>
      <c r="S289" s="6" t="n"/>
      <c r="U289" s="6" t="n"/>
      <c r="V289" s="12">
        <f>IF(OR(M289="",N289=""),"",IF(OR(I289="Orden pagada",I289="Convenio firmado",I289="Perdida"),"",M289*N289))</f>
        <v/>
      </c>
    </row>
    <row r="290">
      <c r="G290" s="6" t="n"/>
      <c r="J290" s="6" t="n"/>
      <c r="M290" s="12" t="n"/>
      <c r="N290" s="8" t="n"/>
      <c r="O290" s="6" t="n"/>
      <c r="P290" s="12" t="n"/>
      <c r="Q290" s="6" t="n"/>
      <c r="S290" s="6" t="n"/>
      <c r="U290" s="6" t="n"/>
      <c r="V290" s="12">
        <f>IF(OR(M290="",N290=""),"",IF(OR(I290="Orden pagada",I290="Convenio firmado",I290="Perdida"),"",M290*N290))</f>
        <v/>
      </c>
    </row>
    <row r="291">
      <c r="G291" s="6" t="n"/>
      <c r="J291" s="6" t="n"/>
      <c r="M291" s="12" t="n"/>
      <c r="N291" s="8" t="n"/>
      <c r="O291" s="6" t="n"/>
      <c r="P291" s="12" t="n"/>
      <c r="Q291" s="6" t="n"/>
      <c r="S291" s="6" t="n"/>
      <c r="U291" s="6" t="n"/>
      <c r="V291" s="12">
        <f>IF(OR(M291="",N291=""),"",IF(OR(I291="Orden pagada",I291="Convenio firmado",I291="Perdida"),"",M291*N291))</f>
        <v/>
      </c>
    </row>
    <row r="292">
      <c r="G292" s="6" t="n"/>
      <c r="J292" s="6" t="n"/>
      <c r="M292" s="12" t="n"/>
      <c r="N292" s="8" t="n"/>
      <c r="O292" s="6" t="n"/>
      <c r="P292" s="12" t="n"/>
      <c r="Q292" s="6" t="n"/>
      <c r="S292" s="6" t="n"/>
      <c r="U292" s="6" t="n"/>
      <c r="V292" s="12">
        <f>IF(OR(M292="",N292=""),"",IF(OR(I292="Orden pagada",I292="Convenio firmado",I292="Perdida"),"",M292*N292))</f>
        <v/>
      </c>
    </row>
    <row r="293">
      <c r="G293" s="6" t="n"/>
      <c r="J293" s="6" t="n"/>
      <c r="M293" s="12" t="n"/>
      <c r="N293" s="8" t="n"/>
      <c r="O293" s="6" t="n"/>
      <c r="P293" s="12" t="n"/>
      <c r="Q293" s="6" t="n"/>
      <c r="S293" s="6" t="n"/>
      <c r="U293" s="6" t="n"/>
      <c r="V293" s="12">
        <f>IF(OR(M293="",N293=""),"",IF(OR(I293="Orden pagada",I293="Convenio firmado",I293="Perdida"),"",M293*N293))</f>
        <v/>
      </c>
    </row>
    <row r="294">
      <c r="G294" s="6" t="n"/>
      <c r="J294" s="6" t="n"/>
      <c r="M294" s="12" t="n"/>
      <c r="N294" s="8" t="n"/>
      <c r="O294" s="6" t="n"/>
      <c r="P294" s="12" t="n"/>
      <c r="Q294" s="6" t="n"/>
      <c r="S294" s="6" t="n"/>
      <c r="U294" s="6" t="n"/>
      <c r="V294" s="12">
        <f>IF(OR(M294="",N294=""),"",IF(OR(I294="Orden pagada",I294="Convenio firmado",I294="Perdida"),"",M294*N294))</f>
        <v/>
      </c>
    </row>
    <row r="295">
      <c r="G295" s="6" t="n"/>
      <c r="J295" s="6" t="n"/>
      <c r="M295" s="12" t="n"/>
      <c r="N295" s="8" t="n"/>
      <c r="O295" s="6" t="n"/>
      <c r="P295" s="12" t="n"/>
      <c r="Q295" s="6" t="n"/>
      <c r="S295" s="6" t="n"/>
      <c r="U295" s="6" t="n"/>
      <c r="V295" s="12">
        <f>IF(OR(M295="",N295=""),"",IF(OR(I295="Orden pagada",I295="Convenio firmado",I295="Perdida"),"",M295*N295))</f>
        <v/>
      </c>
    </row>
    <row r="296">
      <c r="G296" s="6" t="n"/>
      <c r="J296" s="6" t="n"/>
      <c r="M296" s="12" t="n"/>
      <c r="N296" s="8" t="n"/>
      <c r="O296" s="6" t="n"/>
      <c r="P296" s="12" t="n"/>
      <c r="Q296" s="6" t="n"/>
      <c r="S296" s="6" t="n"/>
      <c r="U296" s="6" t="n"/>
      <c r="V296" s="12">
        <f>IF(OR(M296="",N296=""),"",IF(OR(I296="Orden pagada",I296="Convenio firmado",I296="Perdida"),"",M296*N296))</f>
        <v/>
      </c>
    </row>
    <row r="297">
      <c r="G297" s="6" t="n"/>
      <c r="J297" s="6" t="n"/>
      <c r="M297" s="12" t="n"/>
      <c r="N297" s="8" t="n"/>
      <c r="O297" s="6" t="n"/>
      <c r="P297" s="12" t="n"/>
      <c r="Q297" s="6" t="n"/>
      <c r="S297" s="6" t="n"/>
      <c r="U297" s="6" t="n"/>
      <c r="V297" s="12">
        <f>IF(OR(M297="",N297=""),"",IF(OR(I297="Orden pagada",I297="Convenio firmado",I297="Perdida"),"",M297*N297))</f>
        <v/>
      </c>
    </row>
    <row r="298">
      <c r="G298" s="6" t="n"/>
      <c r="J298" s="6" t="n"/>
      <c r="M298" s="12" t="n"/>
      <c r="N298" s="8" t="n"/>
      <c r="O298" s="6" t="n"/>
      <c r="P298" s="12" t="n"/>
      <c r="Q298" s="6" t="n"/>
      <c r="S298" s="6" t="n"/>
      <c r="U298" s="6" t="n"/>
      <c r="V298" s="12">
        <f>IF(OR(M298="",N298=""),"",IF(OR(I298="Orden pagada",I298="Convenio firmado",I298="Perdida"),"",M298*N298))</f>
        <v/>
      </c>
    </row>
    <row r="299">
      <c r="G299" s="6" t="n"/>
      <c r="J299" s="6" t="n"/>
      <c r="M299" s="12" t="n"/>
      <c r="N299" s="8" t="n"/>
      <c r="O299" s="6" t="n"/>
      <c r="P299" s="12" t="n"/>
      <c r="Q299" s="6" t="n"/>
      <c r="S299" s="6" t="n"/>
      <c r="U299" s="6" t="n"/>
      <c r="V299" s="12">
        <f>IF(OR(M299="",N299=""),"",IF(OR(I299="Orden pagada",I299="Convenio firmado",I299="Perdida"),"",M299*N299))</f>
        <v/>
      </c>
    </row>
    <row r="300">
      <c r="G300" s="6" t="n"/>
      <c r="J300" s="6" t="n"/>
      <c r="M300" s="12" t="n"/>
      <c r="N300" s="8" t="n"/>
      <c r="O300" s="6" t="n"/>
      <c r="P300" s="12" t="n"/>
      <c r="Q300" s="6" t="n"/>
      <c r="S300" s="6" t="n"/>
      <c r="U300" s="6" t="n"/>
      <c r="V300" s="12">
        <f>IF(OR(M300="",N300=""),"",IF(OR(I300="Orden pagada",I300="Convenio firmado",I300="Perdida"),"",M300*N300))</f>
        <v/>
      </c>
    </row>
    <row r="301">
      <c r="G301" s="6" t="n"/>
      <c r="J301" s="6" t="n"/>
      <c r="M301" s="12" t="n"/>
      <c r="N301" s="8" t="n"/>
      <c r="O301" s="6" t="n"/>
      <c r="P301" s="12" t="n"/>
      <c r="Q301" s="6" t="n"/>
      <c r="S301" s="6" t="n"/>
      <c r="U301" s="6" t="n"/>
      <c r="V301" s="12">
        <f>IF(OR(M301="",N301=""),"",IF(OR(I301="Orden pagada",I301="Convenio firmado",I301="Perdida"),"",M301*N301))</f>
        <v/>
      </c>
    </row>
    <row r="302">
      <c r="G302" s="6" t="n"/>
      <c r="J302" s="6" t="n"/>
      <c r="M302" s="12" t="n"/>
      <c r="N302" s="8" t="n"/>
      <c r="O302" s="6" t="n"/>
      <c r="P302" s="12" t="n"/>
      <c r="Q302" s="6" t="n"/>
      <c r="S302" s="6" t="n"/>
      <c r="U302" s="6" t="n"/>
      <c r="V302" s="12">
        <f>IF(OR(M302="",N302=""),"",IF(OR(I302="Orden pagada",I302="Convenio firmado",I302="Perdida"),"",M302*N302))</f>
        <v/>
      </c>
    </row>
    <row r="303">
      <c r="G303" s="6" t="n"/>
      <c r="J303" s="6" t="n"/>
      <c r="M303" s="12" t="n"/>
      <c r="N303" s="8" t="n"/>
      <c r="O303" s="6" t="n"/>
      <c r="P303" s="12" t="n"/>
      <c r="Q303" s="6" t="n"/>
      <c r="S303" s="6" t="n"/>
      <c r="U303" s="6" t="n"/>
      <c r="V303" s="12">
        <f>IF(OR(M303="",N303=""),"",IF(OR(I303="Orden pagada",I303="Convenio firmado",I303="Perdida"),"",M303*N303))</f>
        <v/>
      </c>
    </row>
    <row r="304">
      <c r="G304" s="6" t="n"/>
      <c r="J304" s="6" t="n"/>
      <c r="M304" s="12" t="n"/>
      <c r="N304" s="8" t="n"/>
      <c r="O304" s="6" t="n"/>
      <c r="P304" s="12" t="n"/>
      <c r="Q304" s="6" t="n"/>
      <c r="S304" s="6" t="n"/>
      <c r="U304" s="6" t="n"/>
      <c r="V304" s="12">
        <f>IF(OR(M304="",N304=""),"",IF(OR(I304="Orden pagada",I304="Convenio firmado",I304="Perdida"),"",M304*N304))</f>
        <v/>
      </c>
    </row>
    <row r="305">
      <c r="G305" s="6" t="n"/>
      <c r="J305" s="6" t="n"/>
      <c r="M305" s="12" t="n"/>
      <c r="N305" s="8" t="n"/>
      <c r="O305" s="6" t="n"/>
      <c r="P305" s="12" t="n"/>
      <c r="Q305" s="6" t="n"/>
      <c r="S305" s="6" t="n"/>
      <c r="U305" s="6" t="n"/>
      <c r="V305" s="12">
        <f>IF(OR(M305="",N305=""),"",IF(OR(I305="Orden pagada",I305="Convenio firmado",I305="Perdida"),"",M305*N305))</f>
        <v/>
      </c>
    </row>
    <row r="306">
      <c r="G306" s="6" t="n"/>
      <c r="J306" s="6" t="n"/>
      <c r="M306" s="12" t="n"/>
      <c r="N306" s="8" t="n"/>
      <c r="O306" s="6" t="n"/>
      <c r="P306" s="12" t="n"/>
      <c r="Q306" s="6" t="n"/>
      <c r="S306" s="6" t="n"/>
      <c r="U306" s="6" t="n"/>
      <c r="V306" s="12">
        <f>IF(OR(M306="",N306=""),"",IF(OR(I306="Orden pagada",I306="Convenio firmado",I306="Perdida"),"",M306*N306))</f>
        <v/>
      </c>
    </row>
    <row r="307">
      <c r="G307" s="6" t="n"/>
      <c r="J307" s="6" t="n"/>
      <c r="M307" s="12" t="n"/>
      <c r="N307" s="8" t="n"/>
      <c r="O307" s="6" t="n"/>
      <c r="P307" s="12" t="n"/>
      <c r="Q307" s="6" t="n"/>
      <c r="S307" s="6" t="n"/>
      <c r="U307" s="6" t="n"/>
      <c r="V307" s="12">
        <f>IF(OR(M307="",N307=""),"",IF(OR(I307="Orden pagada",I307="Convenio firmado",I307="Perdida"),"",M307*N307))</f>
        <v/>
      </c>
    </row>
    <row r="308">
      <c r="G308" s="6" t="n"/>
      <c r="J308" s="6" t="n"/>
      <c r="M308" s="12" t="n"/>
      <c r="N308" s="8" t="n"/>
      <c r="O308" s="6" t="n"/>
      <c r="P308" s="12" t="n"/>
      <c r="Q308" s="6" t="n"/>
      <c r="S308" s="6" t="n"/>
      <c r="U308" s="6" t="n"/>
      <c r="V308" s="12">
        <f>IF(OR(M308="",N308=""),"",IF(OR(I308="Orden pagada",I308="Convenio firmado",I308="Perdida"),"",M308*N308))</f>
        <v/>
      </c>
    </row>
    <row r="309">
      <c r="G309" s="6" t="n"/>
      <c r="J309" s="6" t="n"/>
      <c r="M309" s="12" t="n"/>
      <c r="N309" s="8" t="n"/>
      <c r="O309" s="6" t="n"/>
      <c r="P309" s="12" t="n"/>
      <c r="Q309" s="6" t="n"/>
      <c r="S309" s="6" t="n"/>
      <c r="U309" s="6" t="n"/>
      <c r="V309" s="12">
        <f>IF(OR(M309="",N309=""),"",IF(OR(I309="Orden pagada",I309="Convenio firmado",I309="Perdida"),"",M309*N309))</f>
        <v/>
      </c>
    </row>
    <row r="310">
      <c r="G310" s="6" t="n"/>
      <c r="J310" s="6" t="n"/>
      <c r="M310" s="12" t="n"/>
      <c r="N310" s="8" t="n"/>
      <c r="O310" s="6" t="n"/>
      <c r="P310" s="12" t="n"/>
      <c r="Q310" s="6" t="n"/>
      <c r="S310" s="6" t="n"/>
      <c r="U310" s="6" t="n"/>
      <c r="V310" s="12">
        <f>IF(OR(M310="",N310=""),"",IF(OR(I310="Orden pagada",I310="Convenio firmado",I310="Perdida"),"",M310*N310))</f>
        <v/>
      </c>
    </row>
    <row r="311">
      <c r="G311" s="6" t="n"/>
      <c r="J311" s="6" t="n"/>
      <c r="M311" s="12" t="n"/>
      <c r="N311" s="8" t="n"/>
      <c r="O311" s="6" t="n"/>
      <c r="P311" s="12" t="n"/>
      <c r="Q311" s="6" t="n"/>
      <c r="S311" s="6" t="n"/>
      <c r="U311" s="6" t="n"/>
      <c r="V311" s="12">
        <f>IF(OR(M311="",N311=""),"",IF(OR(I311="Orden pagada",I311="Convenio firmado",I311="Perdida"),"",M311*N311))</f>
        <v/>
      </c>
    </row>
    <row r="312">
      <c r="G312" s="6" t="n"/>
      <c r="J312" s="6" t="n"/>
      <c r="M312" s="12" t="n"/>
      <c r="N312" s="8" t="n"/>
      <c r="O312" s="6" t="n"/>
      <c r="P312" s="12" t="n"/>
      <c r="Q312" s="6" t="n"/>
      <c r="S312" s="6" t="n"/>
      <c r="U312" s="6" t="n"/>
      <c r="V312" s="12">
        <f>IF(OR(M312="",N312=""),"",IF(OR(I312="Orden pagada",I312="Convenio firmado",I312="Perdida"),"",M312*N312))</f>
        <v/>
      </c>
    </row>
    <row r="313">
      <c r="G313" s="6" t="n"/>
      <c r="J313" s="6" t="n"/>
      <c r="M313" s="12" t="n"/>
      <c r="N313" s="8" t="n"/>
      <c r="O313" s="6" t="n"/>
      <c r="P313" s="12" t="n"/>
      <c r="Q313" s="6" t="n"/>
      <c r="S313" s="6" t="n"/>
      <c r="U313" s="6" t="n"/>
      <c r="V313" s="12">
        <f>IF(OR(M313="",N313=""),"",IF(OR(I313="Orden pagada",I313="Convenio firmado",I313="Perdida"),"",M313*N313))</f>
        <v/>
      </c>
    </row>
    <row r="314">
      <c r="G314" s="6" t="n"/>
      <c r="J314" s="6" t="n"/>
      <c r="M314" s="12" t="n"/>
      <c r="N314" s="8" t="n"/>
      <c r="O314" s="6" t="n"/>
      <c r="P314" s="12" t="n"/>
      <c r="Q314" s="6" t="n"/>
      <c r="S314" s="6" t="n"/>
      <c r="U314" s="6" t="n"/>
      <c r="V314" s="12">
        <f>IF(OR(M314="",N314=""),"",IF(OR(I314="Orden pagada",I314="Convenio firmado",I314="Perdida"),"",M314*N314))</f>
        <v/>
      </c>
    </row>
    <row r="315">
      <c r="G315" s="6" t="n"/>
      <c r="J315" s="6" t="n"/>
      <c r="M315" s="12" t="n"/>
      <c r="N315" s="8" t="n"/>
      <c r="O315" s="6" t="n"/>
      <c r="P315" s="12" t="n"/>
      <c r="Q315" s="6" t="n"/>
      <c r="S315" s="6" t="n"/>
      <c r="U315" s="6" t="n"/>
      <c r="V315" s="12">
        <f>IF(OR(M315="",N315=""),"",IF(OR(I315="Orden pagada",I315="Convenio firmado",I315="Perdida"),"",M315*N315))</f>
        <v/>
      </c>
    </row>
    <row r="316">
      <c r="G316" s="6" t="n"/>
      <c r="J316" s="6" t="n"/>
      <c r="M316" s="12" t="n"/>
      <c r="N316" s="8" t="n"/>
      <c r="O316" s="6" t="n"/>
      <c r="P316" s="12" t="n"/>
      <c r="Q316" s="6" t="n"/>
      <c r="S316" s="6" t="n"/>
      <c r="U316" s="6" t="n"/>
      <c r="V316" s="12">
        <f>IF(OR(M316="",N316=""),"",IF(OR(I316="Orden pagada",I316="Convenio firmado",I316="Perdida"),"",M316*N316))</f>
        <v/>
      </c>
    </row>
    <row r="317">
      <c r="G317" s="6" t="n"/>
      <c r="J317" s="6" t="n"/>
      <c r="M317" s="12" t="n"/>
      <c r="N317" s="8" t="n"/>
      <c r="O317" s="6" t="n"/>
      <c r="P317" s="12" t="n"/>
      <c r="Q317" s="6" t="n"/>
      <c r="S317" s="6" t="n"/>
      <c r="U317" s="6" t="n"/>
      <c r="V317" s="12">
        <f>IF(OR(M317="",N317=""),"",IF(OR(I317="Orden pagada",I317="Convenio firmado",I317="Perdida"),"",M317*N317))</f>
        <v/>
      </c>
    </row>
    <row r="318">
      <c r="G318" s="6" t="n"/>
      <c r="J318" s="6" t="n"/>
      <c r="M318" s="12" t="n"/>
      <c r="N318" s="8" t="n"/>
      <c r="O318" s="6" t="n"/>
      <c r="P318" s="12" t="n"/>
      <c r="Q318" s="6" t="n"/>
      <c r="S318" s="6" t="n"/>
      <c r="U318" s="6" t="n"/>
      <c r="V318" s="12">
        <f>IF(OR(M318="",N318=""),"",IF(OR(I318="Orden pagada",I318="Convenio firmado",I318="Perdida"),"",M318*N318))</f>
        <v/>
      </c>
    </row>
    <row r="319">
      <c r="G319" s="6" t="n"/>
      <c r="J319" s="6" t="n"/>
      <c r="M319" s="12" t="n"/>
      <c r="N319" s="8" t="n"/>
      <c r="O319" s="6" t="n"/>
      <c r="P319" s="12" t="n"/>
      <c r="Q319" s="6" t="n"/>
      <c r="S319" s="6" t="n"/>
      <c r="U319" s="6" t="n"/>
      <c r="V319" s="12">
        <f>IF(OR(M319="",N319=""),"",IF(OR(I319="Orden pagada",I319="Convenio firmado",I319="Perdida"),"",M319*N319))</f>
        <v/>
      </c>
    </row>
    <row r="320">
      <c r="G320" s="6" t="n"/>
      <c r="J320" s="6" t="n"/>
      <c r="M320" s="12" t="n"/>
      <c r="N320" s="8" t="n"/>
      <c r="O320" s="6" t="n"/>
      <c r="P320" s="12" t="n"/>
      <c r="Q320" s="6" t="n"/>
      <c r="S320" s="6" t="n"/>
      <c r="U320" s="6" t="n"/>
      <c r="V320" s="12">
        <f>IF(OR(M320="",N320=""),"",IF(OR(I320="Orden pagada",I320="Convenio firmado",I320="Perdida"),"",M320*N320))</f>
        <v/>
      </c>
    </row>
    <row r="321">
      <c r="G321" s="6" t="n"/>
      <c r="J321" s="6" t="n"/>
      <c r="M321" s="12" t="n"/>
      <c r="N321" s="8" t="n"/>
      <c r="O321" s="6" t="n"/>
      <c r="P321" s="12" t="n"/>
      <c r="Q321" s="6" t="n"/>
      <c r="S321" s="6" t="n"/>
      <c r="U321" s="6" t="n"/>
      <c r="V321" s="12">
        <f>IF(OR(M321="",N321=""),"",IF(OR(I321="Orden pagada",I321="Convenio firmado",I321="Perdida"),"",M321*N321))</f>
        <v/>
      </c>
    </row>
    <row r="322">
      <c r="G322" s="6" t="n"/>
      <c r="J322" s="6" t="n"/>
      <c r="M322" s="12" t="n"/>
      <c r="N322" s="8" t="n"/>
      <c r="O322" s="6" t="n"/>
      <c r="P322" s="12" t="n"/>
      <c r="Q322" s="6" t="n"/>
      <c r="S322" s="6" t="n"/>
      <c r="U322" s="6" t="n"/>
      <c r="V322" s="12">
        <f>IF(OR(M322="",N322=""),"",IF(OR(I322="Orden pagada",I322="Convenio firmado",I322="Perdida"),"",M322*N322))</f>
        <v/>
      </c>
    </row>
    <row r="323">
      <c r="G323" s="6" t="n"/>
      <c r="J323" s="6" t="n"/>
      <c r="M323" s="12" t="n"/>
      <c r="N323" s="8" t="n"/>
      <c r="O323" s="6" t="n"/>
      <c r="P323" s="12" t="n"/>
      <c r="Q323" s="6" t="n"/>
      <c r="S323" s="6" t="n"/>
      <c r="U323" s="6" t="n"/>
      <c r="V323" s="12">
        <f>IF(OR(M323="",N323=""),"",IF(OR(I323="Orden pagada",I323="Convenio firmado",I323="Perdida"),"",M323*N323))</f>
        <v/>
      </c>
    </row>
    <row r="324">
      <c r="G324" s="6" t="n"/>
      <c r="J324" s="6" t="n"/>
      <c r="M324" s="12" t="n"/>
      <c r="N324" s="8" t="n"/>
      <c r="O324" s="6" t="n"/>
      <c r="P324" s="12" t="n"/>
      <c r="Q324" s="6" t="n"/>
      <c r="S324" s="6" t="n"/>
      <c r="U324" s="6" t="n"/>
      <c r="V324" s="12">
        <f>IF(OR(M324="",N324=""),"",IF(OR(I324="Orden pagada",I324="Convenio firmado",I324="Perdida"),"",M324*N324))</f>
        <v/>
      </c>
    </row>
    <row r="325">
      <c r="G325" s="6" t="n"/>
      <c r="J325" s="6" t="n"/>
      <c r="M325" s="12" t="n"/>
      <c r="N325" s="8" t="n"/>
      <c r="O325" s="6" t="n"/>
      <c r="P325" s="12" t="n"/>
      <c r="Q325" s="6" t="n"/>
      <c r="S325" s="6" t="n"/>
      <c r="U325" s="6" t="n"/>
      <c r="V325" s="12">
        <f>IF(OR(M325="",N325=""),"",IF(OR(I325="Orden pagada",I325="Convenio firmado",I325="Perdida"),"",M325*N325))</f>
        <v/>
      </c>
    </row>
    <row r="326">
      <c r="G326" s="6" t="n"/>
      <c r="J326" s="6" t="n"/>
      <c r="M326" s="12" t="n"/>
      <c r="N326" s="8" t="n"/>
      <c r="O326" s="6" t="n"/>
      <c r="P326" s="12" t="n"/>
      <c r="Q326" s="6" t="n"/>
      <c r="S326" s="6" t="n"/>
      <c r="U326" s="6" t="n"/>
      <c r="V326" s="12">
        <f>IF(OR(M326="",N326=""),"",IF(OR(I326="Orden pagada",I326="Convenio firmado",I326="Perdida"),"",M326*N326))</f>
        <v/>
      </c>
    </row>
    <row r="327">
      <c r="G327" s="6" t="n"/>
      <c r="J327" s="6" t="n"/>
      <c r="M327" s="12" t="n"/>
      <c r="N327" s="8" t="n"/>
      <c r="O327" s="6" t="n"/>
      <c r="P327" s="12" t="n"/>
      <c r="Q327" s="6" t="n"/>
      <c r="S327" s="6" t="n"/>
      <c r="U327" s="6" t="n"/>
      <c r="V327" s="12">
        <f>IF(OR(M327="",N327=""),"",IF(OR(I327="Orden pagada",I327="Convenio firmado",I327="Perdida"),"",M327*N327))</f>
        <v/>
      </c>
    </row>
    <row r="328">
      <c r="G328" s="6" t="n"/>
      <c r="J328" s="6" t="n"/>
      <c r="M328" s="12" t="n"/>
      <c r="N328" s="8" t="n"/>
      <c r="O328" s="6" t="n"/>
      <c r="P328" s="12" t="n"/>
      <c r="Q328" s="6" t="n"/>
      <c r="S328" s="6" t="n"/>
      <c r="U328" s="6" t="n"/>
      <c r="V328" s="12">
        <f>IF(OR(M328="",N328=""),"",IF(OR(I328="Orden pagada",I328="Convenio firmado",I328="Perdida"),"",M328*N328))</f>
        <v/>
      </c>
    </row>
    <row r="329">
      <c r="G329" s="6" t="n"/>
      <c r="J329" s="6" t="n"/>
      <c r="M329" s="12" t="n"/>
      <c r="N329" s="8" t="n"/>
      <c r="O329" s="6" t="n"/>
      <c r="P329" s="12" t="n"/>
      <c r="Q329" s="6" t="n"/>
      <c r="S329" s="6" t="n"/>
      <c r="U329" s="6" t="n"/>
      <c r="V329" s="12">
        <f>IF(OR(M329="",N329=""),"",IF(OR(I329="Orden pagada",I329="Convenio firmado",I329="Perdida"),"",M329*N329))</f>
        <v/>
      </c>
    </row>
    <row r="330">
      <c r="G330" s="6" t="n"/>
      <c r="J330" s="6" t="n"/>
      <c r="M330" s="12" t="n"/>
      <c r="N330" s="8" t="n"/>
      <c r="O330" s="6" t="n"/>
      <c r="P330" s="12" t="n"/>
      <c r="Q330" s="6" t="n"/>
      <c r="S330" s="6" t="n"/>
      <c r="U330" s="6" t="n"/>
      <c r="V330" s="12">
        <f>IF(OR(M330="",N330=""),"",IF(OR(I330="Orden pagada",I330="Convenio firmado",I330="Perdida"),"",M330*N330))</f>
        <v/>
      </c>
    </row>
    <row r="331">
      <c r="G331" s="6" t="n"/>
      <c r="J331" s="6" t="n"/>
      <c r="M331" s="12" t="n"/>
      <c r="N331" s="8" t="n"/>
      <c r="O331" s="6" t="n"/>
      <c r="P331" s="12" t="n"/>
      <c r="Q331" s="6" t="n"/>
      <c r="S331" s="6" t="n"/>
      <c r="U331" s="6" t="n"/>
      <c r="V331" s="12">
        <f>IF(OR(M331="",N331=""),"",IF(OR(I331="Orden pagada",I331="Convenio firmado",I331="Perdida"),"",M331*N331))</f>
        <v/>
      </c>
    </row>
    <row r="332">
      <c r="G332" s="6" t="n"/>
      <c r="J332" s="6" t="n"/>
      <c r="M332" s="12" t="n"/>
      <c r="N332" s="8" t="n"/>
      <c r="O332" s="6" t="n"/>
      <c r="P332" s="12" t="n"/>
      <c r="Q332" s="6" t="n"/>
      <c r="S332" s="6" t="n"/>
      <c r="U332" s="6" t="n"/>
      <c r="V332" s="12">
        <f>IF(OR(M332="",N332=""),"",IF(OR(I332="Orden pagada",I332="Convenio firmado",I332="Perdida"),"",M332*N332))</f>
        <v/>
      </c>
    </row>
    <row r="333">
      <c r="G333" s="6" t="n"/>
      <c r="J333" s="6" t="n"/>
      <c r="M333" s="12" t="n"/>
      <c r="N333" s="8" t="n"/>
      <c r="O333" s="6" t="n"/>
      <c r="P333" s="12" t="n"/>
      <c r="Q333" s="6" t="n"/>
      <c r="S333" s="6" t="n"/>
      <c r="U333" s="6" t="n"/>
      <c r="V333" s="12">
        <f>IF(OR(M333="",N333=""),"",IF(OR(I333="Orden pagada",I333="Convenio firmado",I333="Perdida"),"",M333*N333))</f>
        <v/>
      </c>
    </row>
    <row r="334">
      <c r="G334" s="6" t="n"/>
      <c r="J334" s="6" t="n"/>
      <c r="M334" s="12" t="n"/>
      <c r="N334" s="8" t="n"/>
      <c r="O334" s="6" t="n"/>
      <c r="P334" s="12" t="n"/>
      <c r="Q334" s="6" t="n"/>
      <c r="S334" s="6" t="n"/>
      <c r="U334" s="6" t="n"/>
      <c r="V334" s="12">
        <f>IF(OR(M334="",N334=""),"",IF(OR(I334="Orden pagada",I334="Convenio firmado",I334="Perdida"),"",M334*N334))</f>
        <v/>
      </c>
    </row>
    <row r="335">
      <c r="G335" s="6" t="n"/>
      <c r="J335" s="6" t="n"/>
      <c r="M335" s="12" t="n"/>
      <c r="N335" s="8" t="n"/>
      <c r="O335" s="6" t="n"/>
      <c r="P335" s="12" t="n"/>
      <c r="Q335" s="6" t="n"/>
      <c r="S335" s="6" t="n"/>
      <c r="U335" s="6" t="n"/>
      <c r="V335" s="12">
        <f>IF(OR(M335="",N335=""),"",IF(OR(I335="Orden pagada",I335="Convenio firmado",I335="Perdida"),"",M335*N335))</f>
        <v/>
      </c>
    </row>
    <row r="336">
      <c r="G336" s="6" t="n"/>
      <c r="J336" s="6" t="n"/>
      <c r="M336" s="12" t="n"/>
      <c r="N336" s="8" t="n"/>
      <c r="O336" s="6" t="n"/>
      <c r="P336" s="12" t="n"/>
      <c r="Q336" s="6" t="n"/>
      <c r="S336" s="6" t="n"/>
      <c r="U336" s="6" t="n"/>
      <c r="V336" s="12">
        <f>IF(OR(M336="",N336=""),"",IF(OR(I336="Orden pagada",I336="Convenio firmado",I336="Perdida"),"",M336*N336))</f>
        <v/>
      </c>
    </row>
    <row r="337">
      <c r="G337" s="6" t="n"/>
      <c r="J337" s="6" t="n"/>
      <c r="M337" s="12" t="n"/>
      <c r="N337" s="8" t="n"/>
      <c r="O337" s="6" t="n"/>
      <c r="P337" s="12" t="n"/>
      <c r="Q337" s="6" t="n"/>
      <c r="S337" s="6" t="n"/>
      <c r="U337" s="6" t="n"/>
      <c r="V337" s="12">
        <f>IF(OR(M337="",N337=""),"",IF(OR(I337="Orden pagada",I337="Convenio firmado",I337="Perdida"),"",M337*N337))</f>
        <v/>
      </c>
    </row>
    <row r="338">
      <c r="G338" s="6" t="n"/>
      <c r="J338" s="6" t="n"/>
      <c r="M338" s="12" t="n"/>
      <c r="N338" s="8" t="n"/>
      <c r="O338" s="6" t="n"/>
      <c r="P338" s="12" t="n"/>
      <c r="Q338" s="6" t="n"/>
      <c r="S338" s="6" t="n"/>
      <c r="U338" s="6" t="n"/>
      <c r="V338" s="12">
        <f>IF(OR(M338="",N338=""),"",IF(OR(I338="Orden pagada",I338="Convenio firmado",I338="Perdida"),"",M338*N338))</f>
        <v/>
      </c>
    </row>
    <row r="339">
      <c r="G339" s="6" t="n"/>
      <c r="J339" s="6" t="n"/>
      <c r="M339" s="12" t="n"/>
      <c r="N339" s="8" t="n"/>
      <c r="O339" s="6" t="n"/>
      <c r="P339" s="12" t="n"/>
      <c r="Q339" s="6" t="n"/>
      <c r="S339" s="6" t="n"/>
      <c r="U339" s="6" t="n"/>
      <c r="V339" s="12">
        <f>IF(OR(M339="",N339=""),"",IF(OR(I339="Orden pagada",I339="Convenio firmado",I339="Perdida"),"",M339*N339))</f>
        <v/>
      </c>
    </row>
    <row r="340">
      <c r="G340" s="6" t="n"/>
      <c r="J340" s="6" t="n"/>
      <c r="M340" s="12" t="n"/>
      <c r="N340" s="8" t="n"/>
      <c r="O340" s="6" t="n"/>
      <c r="P340" s="12" t="n"/>
      <c r="Q340" s="6" t="n"/>
      <c r="S340" s="6" t="n"/>
      <c r="U340" s="6" t="n"/>
      <c r="V340" s="12">
        <f>IF(OR(M340="",N340=""),"",IF(OR(I340="Orden pagada",I340="Convenio firmado",I340="Perdida"),"",M340*N340))</f>
        <v/>
      </c>
    </row>
    <row r="341">
      <c r="G341" s="6" t="n"/>
      <c r="J341" s="6" t="n"/>
      <c r="M341" s="12" t="n"/>
      <c r="N341" s="8" t="n"/>
      <c r="O341" s="6" t="n"/>
      <c r="P341" s="12" t="n"/>
      <c r="Q341" s="6" t="n"/>
      <c r="S341" s="6" t="n"/>
      <c r="U341" s="6" t="n"/>
      <c r="V341" s="12">
        <f>IF(OR(M341="",N341=""),"",IF(OR(I341="Orden pagada",I341="Convenio firmado",I341="Perdida"),"",M341*N341))</f>
        <v/>
      </c>
    </row>
    <row r="342">
      <c r="G342" s="6" t="n"/>
      <c r="J342" s="6" t="n"/>
      <c r="M342" s="12" t="n"/>
      <c r="N342" s="8" t="n"/>
      <c r="O342" s="6" t="n"/>
      <c r="P342" s="12" t="n"/>
      <c r="Q342" s="6" t="n"/>
      <c r="S342" s="6" t="n"/>
      <c r="U342" s="6" t="n"/>
      <c r="V342" s="12">
        <f>IF(OR(M342="",N342=""),"",IF(OR(I342="Orden pagada",I342="Convenio firmado",I342="Perdida"),"",M342*N342))</f>
        <v/>
      </c>
    </row>
    <row r="343">
      <c r="G343" s="6" t="n"/>
      <c r="J343" s="6" t="n"/>
      <c r="M343" s="12" t="n"/>
      <c r="N343" s="8" t="n"/>
      <c r="O343" s="6" t="n"/>
      <c r="P343" s="12" t="n"/>
      <c r="Q343" s="6" t="n"/>
      <c r="S343" s="6" t="n"/>
      <c r="U343" s="6" t="n"/>
      <c r="V343" s="12">
        <f>IF(OR(M343="",N343=""),"",IF(OR(I343="Orden pagada",I343="Convenio firmado",I343="Perdida"),"",M343*N343))</f>
        <v/>
      </c>
    </row>
    <row r="344">
      <c r="G344" s="6" t="n"/>
      <c r="J344" s="6" t="n"/>
      <c r="M344" s="12" t="n"/>
      <c r="N344" s="8" t="n"/>
      <c r="O344" s="6" t="n"/>
      <c r="P344" s="12" t="n"/>
      <c r="Q344" s="6" t="n"/>
      <c r="S344" s="6" t="n"/>
      <c r="U344" s="6" t="n"/>
      <c r="V344" s="12">
        <f>IF(OR(M344="",N344=""),"",IF(OR(I344="Orden pagada",I344="Convenio firmado",I344="Perdida"),"",M344*N344))</f>
        <v/>
      </c>
    </row>
    <row r="345">
      <c r="G345" s="6" t="n"/>
      <c r="J345" s="6" t="n"/>
      <c r="M345" s="12" t="n"/>
      <c r="N345" s="8" t="n"/>
      <c r="O345" s="6" t="n"/>
      <c r="P345" s="12" t="n"/>
      <c r="Q345" s="6" t="n"/>
      <c r="S345" s="6" t="n"/>
      <c r="U345" s="6" t="n"/>
      <c r="V345" s="12">
        <f>IF(OR(M345="",N345=""),"",IF(OR(I345="Orden pagada",I345="Convenio firmado",I345="Perdida"),"",M345*N345))</f>
        <v/>
      </c>
    </row>
    <row r="346">
      <c r="G346" s="6" t="n"/>
      <c r="J346" s="6" t="n"/>
      <c r="M346" s="12" t="n"/>
      <c r="N346" s="8" t="n"/>
      <c r="O346" s="6" t="n"/>
      <c r="P346" s="12" t="n"/>
      <c r="Q346" s="6" t="n"/>
      <c r="S346" s="6" t="n"/>
      <c r="U346" s="6" t="n"/>
      <c r="V346" s="12">
        <f>IF(OR(M346="",N346=""),"",IF(OR(I346="Orden pagada",I346="Convenio firmado",I346="Perdida"),"",M346*N346))</f>
        <v/>
      </c>
    </row>
    <row r="347">
      <c r="G347" s="6" t="n"/>
      <c r="J347" s="6" t="n"/>
      <c r="M347" s="12" t="n"/>
      <c r="N347" s="8" t="n"/>
      <c r="O347" s="6" t="n"/>
      <c r="P347" s="12" t="n"/>
      <c r="Q347" s="6" t="n"/>
      <c r="S347" s="6" t="n"/>
      <c r="U347" s="6" t="n"/>
      <c r="V347" s="12">
        <f>IF(OR(M347="",N347=""),"",IF(OR(I347="Orden pagada",I347="Convenio firmado",I347="Perdida"),"",M347*N347))</f>
        <v/>
      </c>
    </row>
    <row r="348">
      <c r="G348" s="6" t="n"/>
      <c r="J348" s="6" t="n"/>
      <c r="M348" s="12" t="n"/>
      <c r="N348" s="8" t="n"/>
      <c r="O348" s="6" t="n"/>
      <c r="P348" s="12" t="n"/>
      <c r="Q348" s="6" t="n"/>
      <c r="S348" s="6" t="n"/>
      <c r="U348" s="6" t="n"/>
      <c r="V348" s="12">
        <f>IF(OR(M348="",N348=""),"",IF(OR(I348="Orden pagada",I348="Convenio firmado",I348="Perdida"),"",M348*N348))</f>
        <v/>
      </c>
    </row>
    <row r="349">
      <c r="G349" s="6" t="n"/>
      <c r="J349" s="6" t="n"/>
      <c r="M349" s="12" t="n"/>
      <c r="N349" s="8" t="n"/>
      <c r="O349" s="6" t="n"/>
      <c r="P349" s="12" t="n"/>
      <c r="Q349" s="6" t="n"/>
      <c r="S349" s="6" t="n"/>
      <c r="U349" s="6" t="n"/>
      <c r="V349" s="12">
        <f>IF(OR(M349="",N349=""),"",IF(OR(I349="Orden pagada",I349="Convenio firmado",I349="Perdida"),"",M349*N349))</f>
        <v/>
      </c>
    </row>
    <row r="350">
      <c r="G350" s="6" t="n"/>
      <c r="J350" s="6" t="n"/>
      <c r="M350" s="12" t="n"/>
      <c r="N350" s="8" t="n"/>
      <c r="O350" s="6" t="n"/>
      <c r="P350" s="12" t="n"/>
      <c r="Q350" s="6" t="n"/>
      <c r="S350" s="6" t="n"/>
      <c r="U350" s="6" t="n"/>
      <c r="V350" s="12">
        <f>IF(OR(M350="",N350=""),"",IF(OR(I350="Orden pagada",I350="Convenio firmado",I350="Perdida"),"",M350*N350))</f>
        <v/>
      </c>
    </row>
    <row r="351">
      <c r="G351" s="6" t="n"/>
      <c r="J351" s="6" t="n"/>
      <c r="M351" s="12" t="n"/>
      <c r="N351" s="8" t="n"/>
      <c r="O351" s="6" t="n"/>
      <c r="P351" s="12" t="n"/>
      <c r="Q351" s="6" t="n"/>
      <c r="S351" s="6" t="n"/>
      <c r="U351" s="6" t="n"/>
      <c r="V351" s="12">
        <f>IF(OR(M351="",N351=""),"",IF(OR(I351="Orden pagada",I351="Convenio firmado",I351="Perdida"),"",M351*N351))</f>
        <v/>
      </c>
    </row>
    <row r="352">
      <c r="G352" s="6" t="n"/>
      <c r="J352" s="6" t="n"/>
      <c r="M352" s="12" t="n"/>
      <c r="N352" s="8" t="n"/>
      <c r="O352" s="6" t="n"/>
      <c r="P352" s="12" t="n"/>
      <c r="Q352" s="6" t="n"/>
      <c r="S352" s="6" t="n"/>
      <c r="U352" s="6" t="n"/>
      <c r="V352" s="12">
        <f>IF(OR(M352="",N352=""),"",IF(OR(I352="Orden pagada",I352="Convenio firmado",I352="Perdida"),"",M352*N352))</f>
        <v/>
      </c>
    </row>
    <row r="353">
      <c r="G353" s="6" t="n"/>
      <c r="J353" s="6" t="n"/>
      <c r="M353" s="12" t="n"/>
      <c r="N353" s="8" t="n"/>
      <c r="O353" s="6" t="n"/>
      <c r="P353" s="12" t="n"/>
      <c r="Q353" s="6" t="n"/>
      <c r="S353" s="6" t="n"/>
      <c r="U353" s="6" t="n"/>
      <c r="V353" s="12">
        <f>IF(OR(M353="",N353=""),"",IF(OR(I353="Orden pagada",I353="Convenio firmado",I353="Perdida"),"",M353*N353))</f>
        <v/>
      </c>
    </row>
    <row r="354">
      <c r="G354" s="6" t="n"/>
      <c r="J354" s="6" t="n"/>
      <c r="M354" s="12" t="n"/>
      <c r="N354" s="8" t="n"/>
      <c r="O354" s="6" t="n"/>
      <c r="P354" s="12" t="n"/>
      <c r="Q354" s="6" t="n"/>
      <c r="S354" s="6" t="n"/>
      <c r="U354" s="6" t="n"/>
      <c r="V354" s="12">
        <f>IF(OR(M354="",N354=""),"",IF(OR(I354="Orden pagada",I354="Convenio firmado",I354="Perdida"),"",M354*N354))</f>
        <v/>
      </c>
    </row>
    <row r="355">
      <c r="G355" s="6" t="n"/>
      <c r="J355" s="6" t="n"/>
      <c r="M355" s="12" t="n"/>
      <c r="N355" s="8" t="n"/>
      <c r="O355" s="6" t="n"/>
      <c r="P355" s="12" t="n"/>
      <c r="Q355" s="6" t="n"/>
      <c r="S355" s="6" t="n"/>
      <c r="U355" s="6" t="n"/>
      <c r="V355" s="12">
        <f>IF(OR(M355="",N355=""),"",IF(OR(I355="Orden pagada",I355="Convenio firmado",I355="Perdida"),"",M355*N355))</f>
        <v/>
      </c>
    </row>
    <row r="356">
      <c r="G356" s="6" t="n"/>
      <c r="J356" s="6" t="n"/>
      <c r="M356" s="12" t="n"/>
      <c r="N356" s="8" t="n"/>
      <c r="O356" s="6" t="n"/>
      <c r="P356" s="12" t="n"/>
      <c r="Q356" s="6" t="n"/>
      <c r="S356" s="6" t="n"/>
      <c r="U356" s="6" t="n"/>
      <c r="V356" s="12">
        <f>IF(OR(M356="",N356=""),"",IF(OR(I356="Orden pagada",I356="Convenio firmado",I356="Perdida"),"",M356*N356))</f>
        <v/>
      </c>
    </row>
    <row r="357">
      <c r="G357" s="6" t="n"/>
      <c r="J357" s="6" t="n"/>
      <c r="M357" s="12" t="n"/>
      <c r="N357" s="8" t="n"/>
      <c r="O357" s="6" t="n"/>
      <c r="P357" s="12" t="n"/>
      <c r="Q357" s="6" t="n"/>
      <c r="S357" s="6" t="n"/>
      <c r="U357" s="6" t="n"/>
      <c r="V357" s="12">
        <f>IF(OR(M357="",N357=""),"",IF(OR(I357="Orden pagada",I357="Convenio firmado",I357="Perdida"),"",M357*N357))</f>
        <v/>
      </c>
    </row>
    <row r="358">
      <c r="G358" s="6" t="n"/>
      <c r="J358" s="6" t="n"/>
      <c r="M358" s="12" t="n"/>
      <c r="N358" s="8" t="n"/>
      <c r="O358" s="6" t="n"/>
      <c r="P358" s="12" t="n"/>
      <c r="Q358" s="6" t="n"/>
      <c r="S358" s="6" t="n"/>
      <c r="U358" s="6" t="n"/>
      <c r="V358" s="12">
        <f>IF(OR(M358="",N358=""),"",IF(OR(I358="Orden pagada",I358="Convenio firmado",I358="Perdida"),"",M358*N358))</f>
        <v/>
      </c>
    </row>
    <row r="359">
      <c r="G359" s="6" t="n"/>
      <c r="J359" s="6" t="n"/>
      <c r="M359" s="12" t="n"/>
      <c r="N359" s="8" t="n"/>
      <c r="O359" s="6" t="n"/>
      <c r="P359" s="12" t="n"/>
      <c r="Q359" s="6" t="n"/>
      <c r="S359" s="6" t="n"/>
      <c r="U359" s="6" t="n"/>
      <c r="V359" s="12">
        <f>IF(OR(M359="",N359=""),"",IF(OR(I359="Orden pagada",I359="Convenio firmado",I359="Perdida"),"",M359*N359))</f>
        <v/>
      </c>
    </row>
    <row r="360">
      <c r="G360" s="6" t="n"/>
      <c r="J360" s="6" t="n"/>
      <c r="M360" s="12" t="n"/>
      <c r="N360" s="8" t="n"/>
      <c r="O360" s="6" t="n"/>
      <c r="P360" s="12" t="n"/>
      <c r="Q360" s="6" t="n"/>
      <c r="S360" s="6" t="n"/>
      <c r="U360" s="6" t="n"/>
      <c r="V360" s="12">
        <f>IF(OR(M360="",N360=""),"",IF(OR(I360="Orden pagada",I360="Convenio firmado",I360="Perdida"),"",M360*N360))</f>
        <v/>
      </c>
    </row>
    <row r="361">
      <c r="G361" s="6" t="n"/>
      <c r="J361" s="6" t="n"/>
      <c r="M361" s="12" t="n"/>
      <c r="N361" s="8" t="n"/>
      <c r="O361" s="6" t="n"/>
      <c r="P361" s="12" t="n"/>
      <c r="Q361" s="6" t="n"/>
      <c r="S361" s="6" t="n"/>
      <c r="U361" s="6" t="n"/>
      <c r="V361" s="12">
        <f>IF(OR(M361="",N361=""),"",IF(OR(I361="Orden pagada",I361="Convenio firmado",I361="Perdida"),"",M361*N361))</f>
        <v/>
      </c>
    </row>
    <row r="362">
      <c r="G362" s="6" t="n"/>
      <c r="J362" s="6" t="n"/>
      <c r="M362" s="12" t="n"/>
      <c r="N362" s="8" t="n"/>
      <c r="O362" s="6" t="n"/>
      <c r="P362" s="12" t="n"/>
      <c r="Q362" s="6" t="n"/>
      <c r="S362" s="6" t="n"/>
      <c r="U362" s="6" t="n"/>
      <c r="V362" s="12">
        <f>IF(OR(M362="",N362=""),"",IF(OR(I362="Orden pagada",I362="Convenio firmado",I362="Perdida"),"",M362*N362))</f>
        <v/>
      </c>
    </row>
    <row r="363">
      <c r="G363" s="6" t="n"/>
      <c r="J363" s="6" t="n"/>
      <c r="M363" s="12" t="n"/>
      <c r="N363" s="8" t="n"/>
      <c r="O363" s="6" t="n"/>
      <c r="P363" s="12" t="n"/>
      <c r="Q363" s="6" t="n"/>
      <c r="S363" s="6" t="n"/>
      <c r="U363" s="6" t="n"/>
      <c r="V363" s="12">
        <f>IF(OR(M363="",N363=""),"",IF(OR(I363="Orden pagada",I363="Convenio firmado",I363="Perdida"),"",M363*N363))</f>
        <v/>
      </c>
    </row>
    <row r="364">
      <c r="G364" s="6" t="n"/>
      <c r="J364" s="6" t="n"/>
      <c r="M364" s="12" t="n"/>
      <c r="N364" s="8" t="n"/>
      <c r="O364" s="6" t="n"/>
      <c r="P364" s="12" t="n"/>
      <c r="Q364" s="6" t="n"/>
      <c r="S364" s="6" t="n"/>
      <c r="U364" s="6" t="n"/>
      <c r="V364" s="12">
        <f>IF(OR(M364="",N364=""),"",IF(OR(I364="Orden pagada",I364="Convenio firmado",I364="Perdida"),"",M364*N364))</f>
        <v/>
      </c>
    </row>
    <row r="365">
      <c r="G365" s="6" t="n"/>
      <c r="J365" s="6" t="n"/>
      <c r="M365" s="12" t="n"/>
      <c r="N365" s="8" t="n"/>
      <c r="O365" s="6" t="n"/>
      <c r="P365" s="12" t="n"/>
      <c r="Q365" s="6" t="n"/>
      <c r="S365" s="6" t="n"/>
      <c r="U365" s="6" t="n"/>
      <c r="V365" s="12">
        <f>IF(OR(M365="",N365=""),"",IF(OR(I365="Orden pagada",I365="Convenio firmado",I365="Perdida"),"",M365*N365))</f>
        <v/>
      </c>
    </row>
    <row r="366">
      <c r="G366" s="6" t="n"/>
      <c r="J366" s="6" t="n"/>
      <c r="M366" s="12" t="n"/>
      <c r="N366" s="8" t="n"/>
      <c r="O366" s="6" t="n"/>
      <c r="P366" s="12" t="n"/>
      <c r="Q366" s="6" t="n"/>
      <c r="S366" s="6" t="n"/>
      <c r="U366" s="6" t="n"/>
      <c r="V366" s="12">
        <f>IF(OR(M366="",N366=""),"",IF(OR(I366="Orden pagada",I366="Convenio firmado",I366="Perdida"),"",M366*N366))</f>
        <v/>
      </c>
    </row>
    <row r="367">
      <c r="G367" s="6" t="n"/>
      <c r="J367" s="6" t="n"/>
      <c r="M367" s="12" t="n"/>
      <c r="N367" s="8" t="n"/>
      <c r="O367" s="6" t="n"/>
      <c r="P367" s="12" t="n"/>
      <c r="Q367" s="6" t="n"/>
      <c r="S367" s="6" t="n"/>
      <c r="U367" s="6" t="n"/>
      <c r="V367" s="12">
        <f>IF(OR(M367="",N367=""),"",IF(OR(I367="Orden pagada",I367="Convenio firmado",I367="Perdida"),"",M367*N367))</f>
        <v/>
      </c>
    </row>
    <row r="368">
      <c r="G368" s="6" t="n"/>
      <c r="J368" s="6" t="n"/>
      <c r="M368" s="12" t="n"/>
      <c r="N368" s="8" t="n"/>
      <c r="O368" s="6" t="n"/>
      <c r="P368" s="12" t="n"/>
      <c r="Q368" s="6" t="n"/>
      <c r="S368" s="6" t="n"/>
      <c r="U368" s="6" t="n"/>
      <c r="V368" s="12">
        <f>IF(OR(M368="",N368=""),"",IF(OR(I368="Orden pagada",I368="Convenio firmado",I368="Perdida"),"",M368*N368))</f>
        <v/>
      </c>
    </row>
    <row r="369">
      <c r="G369" s="6" t="n"/>
      <c r="J369" s="6" t="n"/>
      <c r="M369" s="12" t="n"/>
      <c r="N369" s="8" t="n"/>
      <c r="O369" s="6" t="n"/>
      <c r="P369" s="12" t="n"/>
      <c r="Q369" s="6" t="n"/>
      <c r="S369" s="6" t="n"/>
      <c r="U369" s="6" t="n"/>
      <c r="V369" s="12">
        <f>IF(OR(M369="",N369=""),"",IF(OR(I369="Orden pagada",I369="Convenio firmado",I369="Perdida"),"",M369*N369))</f>
        <v/>
      </c>
    </row>
    <row r="370">
      <c r="G370" s="6" t="n"/>
      <c r="J370" s="6" t="n"/>
      <c r="M370" s="12" t="n"/>
      <c r="N370" s="8" t="n"/>
      <c r="O370" s="6" t="n"/>
      <c r="P370" s="12" t="n"/>
      <c r="Q370" s="6" t="n"/>
      <c r="S370" s="6" t="n"/>
      <c r="U370" s="6" t="n"/>
      <c r="V370" s="12">
        <f>IF(OR(M370="",N370=""),"",IF(OR(I370="Orden pagada",I370="Convenio firmado",I370="Perdida"),"",M370*N370))</f>
        <v/>
      </c>
    </row>
    <row r="371">
      <c r="G371" s="6" t="n"/>
      <c r="J371" s="6" t="n"/>
      <c r="M371" s="12" t="n"/>
      <c r="N371" s="8" t="n"/>
      <c r="O371" s="6" t="n"/>
      <c r="P371" s="12" t="n"/>
      <c r="Q371" s="6" t="n"/>
      <c r="S371" s="6" t="n"/>
      <c r="U371" s="6" t="n"/>
      <c r="V371" s="12">
        <f>IF(OR(M371="",N371=""),"",IF(OR(I371="Orden pagada",I371="Convenio firmado",I371="Perdida"),"",M371*N371))</f>
        <v/>
      </c>
    </row>
    <row r="372">
      <c r="G372" s="6" t="n"/>
      <c r="J372" s="6" t="n"/>
      <c r="M372" s="12" t="n"/>
      <c r="N372" s="8" t="n"/>
      <c r="O372" s="6" t="n"/>
      <c r="P372" s="12" t="n"/>
      <c r="Q372" s="6" t="n"/>
      <c r="S372" s="6" t="n"/>
      <c r="U372" s="6" t="n"/>
      <c r="V372" s="12">
        <f>IF(OR(M372="",N372=""),"",IF(OR(I372="Orden pagada",I372="Convenio firmado",I372="Perdida"),"",M372*N372))</f>
        <v/>
      </c>
    </row>
    <row r="373">
      <c r="G373" s="6" t="n"/>
      <c r="J373" s="6" t="n"/>
      <c r="M373" s="12" t="n"/>
      <c r="N373" s="8" t="n"/>
      <c r="O373" s="6" t="n"/>
      <c r="P373" s="12" t="n"/>
      <c r="Q373" s="6" t="n"/>
      <c r="S373" s="6" t="n"/>
      <c r="U373" s="6" t="n"/>
      <c r="V373" s="12">
        <f>IF(OR(M373="",N373=""),"",IF(OR(I373="Orden pagada",I373="Convenio firmado",I373="Perdida"),"",M373*N373))</f>
        <v/>
      </c>
    </row>
    <row r="374">
      <c r="G374" s="6" t="n"/>
      <c r="J374" s="6" t="n"/>
      <c r="M374" s="12" t="n"/>
      <c r="N374" s="8" t="n"/>
      <c r="O374" s="6" t="n"/>
      <c r="P374" s="12" t="n"/>
      <c r="Q374" s="6" t="n"/>
      <c r="S374" s="6" t="n"/>
      <c r="U374" s="6" t="n"/>
      <c r="V374" s="12">
        <f>IF(OR(M374="",N374=""),"",IF(OR(I374="Orden pagada",I374="Convenio firmado",I374="Perdida"),"",M374*N374))</f>
        <v/>
      </c>
    </row>
    <row r="375">
      <c r="G375" s="6" t="n"/>
      <c r="J375" s="6" t="n"/>
      <c r="M375" s="12" t="n"/>
      <c r="N375" s="8" t="n"/>
      <c r="O375" s="6" t="n"/>
      <c r="P375" s="12" t="n"/>
      <c r="Q375" s="6" t="n"/>
      <c r="S375" s="6" t="n"/>
      <c r="U375" s="6" t="n"/>
      <c r="V375" s="12">
        <f>IF(OR(M375="",N375=""),"",IF(OR(I375="Orden pagada",I375="Convenio firmado",I375="Perdida"),"",M375*N375))</f>
        <v/>
      </c>
    </row>
    <row r="376">
      <c r="G376" s="6" t="n"/>
      <c r="J376" s="6" t="n"/>
      <c r="M376" s="12" t="n"/>
      <c r="N376" s="8" t="n"/>
      <c r="O376" s="6" t="n"/>
      <c r="P376" s="12" t="n"/>
      <c r="Q376" s="6" t="n"/>
      <c r="S376" s="6" t="n"/>
      <c r="U376" s="6" t="n"/>
      <c r="V376" s="12">
        <f>IF(OR(M376="",N376=""),"",IF(OR(I376="Orden pagada",I376="Convenio firmado",I376="Perdida"),"",M376*N376))</f>
        <v/>
      </c>
    </row>
    <row r="377">
      <c r="G377" s="6" t="n"/>
      <c r="J377" s="6" t="n"/>
      <c r="M377" s="12" t="n"/>
      <c r="N377" s="8" t="n"/>
      <c r="O377" s="6" t="n"/>
      <c r="P377" s="12" t="n"/>
      <c r="Q377" s="6" t="n"/>
      <c r="S377" s="6" t="n"/>
      <c r="U377" s="6" t="n"/>
      <c r="V377" s="12">
        <f>IF(OR(M377="",N377=""),"",IF(OR(I377="Orden pagada",I377="Convenio firmado",I377="Perdida"),"",M377*N377))</f>
        <v/>
      </c>
    </row>
    <row r="378">
      <c r="G378" s="6" t="n"/>
      <c r="J378" s="6" t="n"/>
      <c r="M378" s="12" t="n"/>
      <c r="N378" s="8" t="n"/>
      <c r="O378" s="6" t="n"/>
      <c r="P378" s="12" t="n"/>
      <c r="Q378" s="6" t="n"/>
      <c r="S378" s="6" t="n"/>
      <c r="U378" s="6" t="n"/>
      <c r="V378" s="12">
        <f>IF(OR(M378="",N378=""),"",IF(OR(I378="Orden pagada",I378="Convenio firmado",I378="Perdida"),"",M378*N378))</f>
        <v/>
      </c>
    </row>
    <row r="379">
      <c r="G379" s="6" t="n"/>
      <c r="J379" s="6" t="n"/>
      <c r="M379" s="12" t="n"/>
      <c r="N379" s="8" t="n"/>
      <c r="O379" s="6" t="n"/>
      <c r="P379" s="12" t="n"/>
      <c r="Q379" s="6" t="n"/>
      <c r="S379" s="6" t="n"/>
      <c r="U379" s="6" t="n"/>
      <c r="V379" s="12">
        <f>IF(OR(M379="",N379=""),"",IF(OR(I379="Orden pagada",I379="Convenio firmado",I379="Perdida"),"",M379*N379))</f>
        <v/>
      </c>
    </row>
    <row r="380">
      <c r="G380" s="6" t="n"/>
      <c r="J380" s="6" t="n"/>
      <c r="M380" s="12" t="n"/>
      <c r="N380" s="8" t="n"/>
      <c r="O380" s="6" t="n"/>
      <c r="P380" s="12" t="n"/>
      <c r="Q380" s="6" t="n"/>
      <c r="S380" s="6" t="n"/>
      <c r="U380" s="6" t="n"/>
      <c r="V380" s="12">
        <f>IF(OR(M380="",N380=""),"",IF(OR(I380="Orden pagada",I380="Convenio firmado",I380="Perdida"),"",M380*N380))</f>
        <v/>
      </c>
    </row>
    <row r="381">
      <c r="G381" s="6" t="n"/>
      <c r="J381" s="6" t="n"/>
      <c r="M381" s="12" t="n"/>
      <c r="N381" s="8" t="n"/>
      <c r="O381" s="6" t="n"/>
      <c r="P381" s="12" t="n"/>
      <c r="Q381" s="6" t="n"/>
      <c r="S381" s="6" t="n"/>
      <c r="U381" s="6" t="n"/>
      <c r="V381" s="12">
        <f>IF(OR(M381="",N381=""),"",IF(OR(I381="Orden pagada",I381="Convenio firmado",I381="Perdida"),"",M381*N381))</f>
        <v/>
      </c>
    </row>
    <row r="382">
      <c r="G382" s="6" t="n"/>
      <c r="J382" s="6" t="n"/>
      <c r="M382" s="12" t="n"/>
      <c r="N382" s="8" t="n"/>
      <c r="O382" s="6" t="n"/>
      <c r="P382" s="12" t="n"/>
      <c r="Q382" s="6" t="n"/>
      <c r="S382" s="6" t="n"/>
      <c r="U382" s="6" t="n"/>
      <c r="V382" s="12">
        <f>IF(OR(M382="",N382=""),"",IF(OR(I382="Orden pagada",I382="Convenio firmado",I382="Perdida"),"",M382*N382))</f>
        <v/>
      </c>
    </row>
    <row r="383">
      <c r="G383" s="6" t="n"/>
      <c r="J383" s="6" t="n"/>
      <c r="M383" s="12" t="n"/>
      <c r="N383" s="8" t="n"/>
      <c r="O383" s="6" t="n"/>
      <c r="P383" s="12" t="n"/>
      <c r="Q383" s="6" t="n"/>
      <c r="S383" s="6" t="n"/>
      <c r="U383" s="6" t="n"/>
      <c r="V383" s="12">
        <f>IF(OR(M383="",N383=""),"",IF(OR(I383="Orden pagada",I383="Convenio firmado",I383="Perdida"),"",M383*N383))</f>
        <v/>
      </c>
    </row>
    <row r="384">
      <c r="G384" s="6" t="n"/>
      <c r="J384" s="6" t="n"/>
      <c r="M384" s="12" t="n"/>
      <c r="N384" s="8" t="n"/>
      <c r="O384" s="6" t="n"/>
      <c r="P384" s="12" t="n"/>
      <c r="Q384" s="6" t="n"/>
      <c r="S384" s="6" t="n"/>
      <c r="U384" s="6" t="n"/>
      <c r="V384" s="12">
        <f>IF(OR(M384="",N384=""),"",IF(OR(I384="Orden pagada",I384="Convenio firmado",I384="Perdida"),"",M384*N384))</f>
        <v/>
      </c>
    </row>
    <row r="385">
      <c r="G385" s="6" t="n"/>
      <c r="J385" s="6" t="n"/>
      <c r="M385" s="12" t="n"/>
      <c r="N385" s="8" t="n"/>
      <c r="O385" s="6" t="n"/>
      <c r="P385" s="12" t="n"/>
      <c r="Q385" s="6" t="n"/>
      <c r="S385" s="6" t="n"/>
      <c r="U385" s="6" t="n"/>
      <c r="V385" s="12">
        <f>IF(OR(M385="",N385=""),"",IF(OR(I385="Orden pagada",I385="Convenio firmado",I385="Perdida"),"",M385*N385))</f>
        <v/>
      </c>
    </row>
    <row r="386">
      <c r="G386" s="6" t="n"/>
      <c r="J386" s="6" t="n"/>
      <c r="M386" s="12" t="n"/>
      <c r="N386" s="8" t="n"/>
      <c r="O386" s="6" t="n"/>
      <c r="P386" s="12" t="n"/>
      <c r="Q386" s="6" t="n"/>
      <c r="S386" s="6" t="n"/>
      <c r="U386" s="6" t="n"/>
      <c r="V386" s="12">
        <f>IF(OR(M386="",N386=""),"",IF(OR(I386="Orden pagada",I386="Convenio firmado",I386="Perdida"),"",M386*N386))</f>
        <v/>
      </c>
    </row>
    <row r="387">
      <c r="G387" s="6" t="n"/>
      <c r="J387" s="6" t="n"/>
      <c r="M387" s="12" t="n"/>
      <c r="N387" s="8" t="n"/>
      <c r="O387" s="6" t="n"/>
      <c r="P387" s="12" t="n"/>
      <c r="Q387" s="6" t="n"/>
      <c r="S387" s="6" t="n"/>
      <c r="U387" s="6" t="n"/>
      <c r="V387" s="12">
        <f>IF(OR(M387="",N387=""),"",IF(OR(I387="Orden pagada",I387="Convenio firmado",I387="Perdida"),"",M387*N387))</f>
        <v/>
      </c>
    </row>
    <row r="388">
      <c r="G388" s="6" t="n"/>
      <c r="J388" s="6" t="n"/>
      <c r="M388" s="12" t="n"/>
      <c r="N388" s="8" t="n"/>
      <c r="O388" s="6" t="n"/>
      <c r="P388" s="12" t="n"/>
      <c r="Q388" s="6" t="n"/>
      <c r="S388" s="6" t="n"/>
      <c r="U388" s="6" t="n"/>
      <c r="V388" s="12">
        <f>IF(OR(M388="",N388=""),"",IF(OR(I388="Orden pagada",I388="Convenio firmado",I388="Perdida"),"",M388*N388))</f>
        <v/>
      </c>
    </row>
    <row r="389">
      <c r="G389" s="6" t="n"/>
      <c r="J389" s="6" t="n"/>
      <c r="M389" s="12" t="n"/>
      <c r="N389" s="8" t="n"/>
      <c r="O389" s="6" t="n"/>
      <c r="P389" s="12" t="n"/>
      <c r="Q389" s="6" t="n"/>
      <c r="S389" s="6" t="n"/>
      <c r="U389" s="6" t="n"/>
      <c r="V389" s="12">
        <f>IF(OR(M389="",N389=""),"",IF(OR(I389="Orden pagada",I389="Convenio firmado",I389="Perdida"),"",M389*N389))</f>
        <v/>
      </c>
    </row>
    <row r="390">
      <c r="G390" s="6" t="n"/>
      <c r="J390" s="6" t="n"/>
      <c r="M390" s="12" t="n"/>
      <c r="N390" s="8" t="n"/>
      <c r="O390" s="6" t="n"/>
      <c r="P390" s="12" t="n"/>
      <c r="Q390" s="6" t="n"/>
      <c r="S390" s="6" t="n"/>
      <c r="U390" s="6" t="n"/>
      <c r="V390" s="12">
        <f>IF(OR(M390="",N390=""),"",IF(OR(I390="Orden pagada",I390="Convenio firmado",I390="Perdida"),"",M390*N390))</f>
        <v/>
      </c>
    </row>
    <row r="391">
      <c r="G391" s="6" t="n"/>
      <c r="J391" s="6" t="n"/>
      <c r="M391" s="12" t="n"/>
      <c r="N391" s="8" t="n"/>
      <c r="O391" s="6" t="n"/>
      <c r="P391" s="12" t="n"/>
      <c r="Q391" s="6" t="n"/>
      <c r="S391" s="6" t="n"/>
      <c r="U391" s="6" t="n"/>
      <c r="V391" s="12">
        <f>IF(OR(M391="",N391=""),"",IF(OR(I391="Orden pagada",I391="Convenio firmado",I391="Perdida"),"",M391*N391))</f>
        <v/>
      </c>
    </row>
    <row r="392">
      <c r="G392" s="6" t="n"/>
      <c r="J392" s="6" t="n"/>
      <c r="M392" s="12" t="n"/>
      <c r="N392" s="8" t="n"/>
      <c r="O392" s="6" t="n"/>
      <c r="P392" s="12" t="n"/>
      <c r="Q392" s="6" t="n"/>
      <c r="S392" s="6" t="n"/>
      <c r="U392" s="6" t="n"/>
      <c r="V392" s="12">
        <f>IF(OR(M392="",N392=""),"",IF(OR(I392="Orden pagada",I392="Convenio firmado",I392="Perdida"),"",M392*N392))</f>
        <v/>
      </c>
    </row>
    <row r="393">
      <c r="G393" s="6" t="n"/>
      <c r="J393" s="6" t="n"/>
      <c r="M393" s="12" t="n"/>
      <c r="N393" s="8" t="n"/>
      <c r="O393" s="6" t="n"/>
      <c r="P393" s="12" t="n"/>
      <c r="Q393" s="6" t="n"/>
      <c r="S393" s="6" t="n"/>
      <c r="U393" s="6" t="n"/>
      <c r="V393" s="12">
        <f>IF(OR(M393="",N393=""),"",IF(OR(I393="Orden pagada",I393="Convenio firmado",I393="Perdida"),"",M393*N393))</f>
        <v/>
      </c>
    </row>
    <row r="394">
      <c r="G394" s="6" t="n"/>
      <c r="J394" s="6" t="n"/>
      <c r="M394" s="12" t="n"/>
      <c r="N394" s="8" t="n"/>
      <c r="O394" s="6" t="n"/>
      <c r="P394" s="12" t="n"/>
      <c r="Q394" s="6" t="n"/>
      <c r="S394" s="6" t="n"/>
      <c r="U394" s="6" t="n"/>
      <c r="V394" s="12">
        <f>IF(OR(M394="",N394=""),"",IF(OR(I394="Orden pagada",I394="Convenio firmado",I394="Perdida"),"",M394*N394))</f>
        <v/>
      </c>
    </row>
    <row r="395">
      <c r="G395" s="6" t="n"/>
      <c r="J395" s="6" t="n"/>
      <c r="M395" s="12" t="n"/>
      <c r="N395" s="8" t="n"/>
      <c r="O395" s="6" t="n"/>
      <c r="P395" s="12" t="n"/>
      <c r="Q395" s="6" t="n"/>
      <c r="S395" s="6" t="n"/>
      <c r="U395" s="6" t="n"/>
      <c r="V395" s="12">
        <f>IF(OR(M395="",N395=""),"",IF(OR(I395="Orden pagada",I395="Convenio firmado",I395="Perdida"),"",M395*N395))</f>
        <v/>
      </c>
    </row>
    <row r="396">
      <c r="G396" s="6" t="n"/>
      <c r="J396" s="6" t="n"/>
      <c r="M396" s="12" t="n"/>
      <c r="N396" s="8" t="n"/>
      <c r="O396" s="6" t="n"/>
      <c r="P396" s="12" t="n"/>
      <c r="Q396" s="6" t="n"/>
      <c r="S396" s="6" t="n"/>
      <c r="U396" s="6" t="n"/>
      <c r="V396" s="12">
        <f>IF(OR(M396="",N396=""),"",IF(OR(I396="Orden pagada",I396="Convenio firmado",I396="Perdida"),"",M396*N396))</f>
        <v/>
      </c>
    </row>
    <row r="397">
      <c r="G397" s="6" t="n"/>
      <c r="J397" s="6" t="n"/>
      <c r="M397" s="12" t="n"/>
      <c r="N397" s="8" t="n"/>
      <c r="O397" s="6" t="n"/>
      <c r="P397" s="12" t="n"/>
      <c r="Q397" s="6" t="n"/>
      <c r="S397" s="6" t="n"/>
      <c r="U397" s="6" t="n"/>
      <c r="V397" s="12">
        <f>IF(OR(M397="",N397=""),"",IF(OR(I397="Orden pagada",I397="Convenio firmado",I397="Perdida"),"",M397*N397))</f>
        <v/>
      </c>
    </row>
    <row r="398">
      <c r="G398" s="6" t="n"/>
      <c r="J398" s="6" t="n"/>
      <c r="M398" s="12" t="n"/>
      <c r="N398" s="8" t="n"/>
      <c r="O398" s="6" t="n"/>
      <c r="P398" s="12" t="n"/>
      <c r="Q398" s="6" t="n"/>
      <c r="S398" s="6" t="n"/>
      <c r="U398" s="6" t="n"/>
      <c r="V398" s="12">
        <f>IF(OR(M398="",N398=""),"",IF(OR(I398="Orden pagada",I398="Convenio firmado",I398="Perdida"),"",M398*N398))</f>
        <v/>
      </c>
    </row>
    <row r="399">
      <c r="G399" s="6" t="n"/>
      <c r="J399" s="6" t="n"/>
      <c r="M399" s="12" t="n"/>
      <c r="N399" s="8" t="n"/>
      <c r="O399" s="6" t="n"/>
      <c r="P399" s="12" t="n"/>
      <c r="Q399" s="6" t="n"/>
      <c r="S399" s="6" t="n"/>
      <c r="U399" s="6" t="n"/>
      <c r="V399" s="12">
        <f>IF(OR(M399="",N399=""),"",IF(OR(I399="Orden pagada",I399="Convenio firmado",I399="Perdida"),"",M399*N399))</f>
        <v/>
      </c>
    </row>
    <row r="400">
      <c r="G400" s="6" t="n"/>
      <c r="J400" s="6" t="n"/>
      <c r="M400" s="12" t="n"/>
      <c r="N400" s="8" t="n"/>
      <c r="O400" s="6" t="n"/>
      <c r="P400" s="12" t="n"/>
      <c r="Q400" s="6" t="n"/>
      <c r="S400" s="6" t="n"/>
      <c r="U400" s="6" t="n"/>
      <c r="V400" s="12">
        <f>IF(OR(M400="",N400=""),"",IF(OR(I400="Orden pagada",I400="Convenio firmado",I400="Perdida"),"",M400*N400))</f>
        <v/>
      </c>
    </row>
    <row r="401">
      <c r="G401" s="6" t="n"/>
      <c r="J401" s="6" t="n"/>
      <c r="M401" s="12" t="n"/>
      <c r="N401" s="8" t="n"/>
      <c r="O401" s="6" t="n"/>
      <c r="P401" s="12" t="n"/>
      <c r="Q401" s="6" t="n"/>
      <c r="S401" s="6" t="n"/>
      <c r="U401" s="6" t="n"/>
      <c r="V401" s="12">
        <f>IF(OR(M401="",N401=""),"",IF(OR(I401="Orden pagada",I401="Convenio firmado",I401="Perdida"),"",M401*N401))</f>
        <v/>
      </c>
    </row>
  </sheetData>
  <conditionalFormatting sqref="A2:A401">
    <cfRule type="expression" priority="1" dxfId="2">
      <formula>AND($I2="Convenio firmado",$S2="",$Q2&lt;&gt;"",TODAY()-$Q2&gt;30)</formula>
    </cfRule>
  </conditionalFormatting>
  <conditionalFormatting sqref="U2:U401">
    <cfRule type="expression" priority="2" dxfId="1">
      <formula>AND($U2&lt;&gt;"",$U2&lt;TODAY(),$I2&lt;&gt;"Perdida",$I2&lt;&gt;"Orden pagada")</formula>
    </cfRule>
  </conditionalFormatting>
  <dataValidations count="5">
    <dataValidation sqref="B2:B401" showDropDown="0" showInputMessage="0" showErrorMessage="0" allowBlank="1" type="list">
      <formula1>"Empresa,Fundación,Colegio,Caja / gremio,Entidad pública"</formula1>
    </dataValidation>
    <dataValidation sqref="I2:I401" showDropDown="0" showInputMessage="0" showErrorMessage="0" allowBlank="1" type="list">
      <formula1>"Contactada,Reunión hecha,Propuesta enviada,Convenio firmado,Orden pagada,En pausa,Perdida"</formula1>
    </dataValidation>
    <dataValidation sqref="K2:K401" showDropDown="0" showInputMessage="0" showErrorMessage="0" allowBlank="1" type="list">
      <formula1>"A. Alianza sin costo,B. Plan empresa,Personalizado,Feria / base de datos"</formula1>
    </dataValidation>
    <dataValidation sqref="R2:R401" showDropDown="0" showInputMessage="0" showErrorMessage="0" allowBlank="1" type="list">
      <formula1>"Sí,No"</formula1>
    </dataValidation>
    <dataValidation sqref="N2:N401" showDropDown="0" showInputMessage="0" showErrorMessage="0" allowBlank="1" type="list">
      <formula1>"10%,25%,50%,75%,90%"</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1" customWidth="1" min="3" max="3"/>
    <col width="11" customWidth="1" min="4" max="4"/>
    <col width="13" customWidth="1" min="5" max="5"/>
    <col width="16" customWidth="1" min="6" max="6"/>
    <col width="14" customWidth="1" min="7" max="7"/>
    <col width="11" customWidth="1" min="8" max="8"/>
    <col width="11" customWidth="1" min="9" max="9"/>
    <col width="15" customWidth="1" min="10" max="10"/>
    <col width="34" customWidth="1" min="11" max="11"/>
    <col width="34" customWidth="1" min="12" max="12"/>
    <col width="30" customWidth="1" min="13" max="13"/>
    <col width="60" customWidth="1" min="15" max="15"/>
  </cols>
  <sheetData>
    <row r="1" ht="32" customHeight="1">
      <c r="A1" s="9" t="inlineStr">
        <is>
          <t>Fecha</t>
        </is>
      </c>
      <c r="B1" s="9" t="inlineStr">
        <is>
          <t>Contactos nuevos con decisor</t>
        </is>
      </c>
      <c r="C1" s="9" t="inlineStr">
        <is>
          <t>Reuniones hechas</t>
        </is>
      </c>
      <c r="D1" s="9" t="inlineStr">
        <is>
          <t>Activaciones</t>
        </is>
      </c>
      <c r="E1" s="9" t="inlineStr">
        <is>
          <t>Firmas (convenio u orden pagada)</t>
        </is>
      </c>
      <c r="F1" s="9" t="inlineStr">
        <is>
          <t>Ventas firmadas del día ($)</t>
        </is>
      </c>
      <c r="G1" s="9" t="inlineStr">
        <is>
          <t>Personas contactadas (referidos, conocidos, afiliados)</t>
        </is>
      </c>
      <c r="H1" s="9" t="inlineStr">
        <is>
          <t>Citas con personas hechas</t>
        </is>
      </c>
      <c r="I1" s="9" t="inlineStr">
        <is>
          <t>Inscritos pagados hoy (personas)</t>
        </is>
      </c>
      <c r="J1" s="9" t="inlineStr">
        <is>
          <t>Caja recibida hoy ($)</t>
        </is>
      </c>
      <c r="K1" s="9" t="inlineStr">
        <is>
          <t>Lo más importante de hoy</t>
        </is>
      </c>
      <c r="L1" s="9" t="inlineStr">
        <is>
          <t>Mañana hago (empresas / reuniones / citas)</t>
        </is>
      </c>
      <c r="M1" s="9" t="inlineStr">
        <is>
          <t>Bloqueos / lo que necesito de gerencia</t>
        </is>
      </c>
      <c r="O1" s="4" t="inlineStr">
        <is>
          <t>Se llena al cierre de cada día, antes de las 6:00 p. m., una fila por día (también los días sin resultados: se escribe 0). Gerencia la lee en Drive sin pedirla.</t>
        </is>
      </c>
    </row>
    <row r="2">
      <c r="A2" s="6" t="n"/>
      <c r="F2" s="12" t="n"/>
      <c r="J2" s="12" t="n"/>
      <c r="K2" s="7" t="n"/>
      <c r="L2" s="7" t="n"/>
      <c r="M2" s="7" t="n"/>
    </row>
    <row r="3">
      <c r="A3" s="6" t="n"/>
      <c r="F3" s="12" t="n"/>
      <c r="J3" s="12" t="n"/>
      <c r="K3" s="7" t="n"/>
      <c r="L3" s="7" t="n"/>
      <c r="M3" s="7" t="n"/>
    </row>
    <row r="4">
      <c r="A4" s="6" t="n"/>
      <c r="F4" s="12" t="n"/>
      <c r="J4" s="12" t="n"/>
      <c r="K4" s="7" t="n"/>
      <c r="L4" s="7" t="n"/>
      <c r="M4" s="7" t="n"/>
    </row>
    <row r="5">
      <c r="A5" s="6" t="n"/>
      <c r="F5" s="12" t="n"/>
      <c r="J5" s="12" t="n"/>
      <c r="K5" s="7" t="n"/>
      <c r="L5" s="7" t="n"/>
      <c r="M5" s="7" t="n"/>
    </row>
    <row r="6">
      <c r="A6" s="6" t="n"/>
      <c r="F6" s="12" t="n"/>
      <c r="J6" s="12" t="n"/>
      <c r="K6" s="7" t="n"/>
      <c r="L6" s="7" t="n"/>
      <c r="M6" s="7" t="n"/>
    </row>
    <row r="7">
      <c r="A7" s="6" t="n"/>
      <c r="F7" s="12" t="n"/>
      <c r="J7" s="12" t="n"/>
      <c r="K7" s="7" t="n"/>
      <c r="L7" s="7" t="n"/>
      <c r="M7" s="7" t="n"/>
    </row>
    <row r="8">
      <c r="A8" s="6" t="n"/>
      <c r="F8" s="12" t="n"/>
      <c r="J8" s="12" t="n"/>
      <c r="K8" s="7" t="n"/>
      <c r="L8" s="7" t="n"/>
      <c r="M8" s="7" t="n"/>
    </row>
    <row r="9">
      <c r="A9" s="6" t="n"/>
      <c r="F9" s="12" t="n"/>
      <c r="J9" s="12" t="n"/>
      <c r="K9" s="7" t="n"/>
      <c r="L9" s="7" t="n"/>
      <c r="M9" s="7" t="n"/>
    </row>
    <row r="10">
      <c r="A10" s="6" t="n"/>
      <c r="F10" s="12" t="n"/>
      <c r="J10" s="12" t="n"/>
      <c r="K10" s="7" t="n"/>
      <c r="L10" s="7" t="n"/>
      <c r="M10" s="7" t="n"/>
    </row>
    <row r="11">
      <c r="A11" s="6" t="n"/>
      <c r="F11" s="12" t="n"/>
      <c r="J11" s="12" t="n"/>
      <c r="K11" s="7" t="n"/>
      <c r="L11" s="7" t="n"/>
      <c r="M11" s="7" t="n"/>
    </row>
    <row r="12">
      <c r="A12" s="6" t="n"/>
      <c r="F12" s="12" t="n"/>
      <c r="J12" s="12" t="n"/>
      <c r="K12" s="7" t="n"/>
      <c r="L12" s="7" t="n"/>
      <c r="M12" s="7" t="n"/>
    </row>
    <row r="13">
      <c r="A13" s="6" t="n"/>
      <c r="F13" s="12" t="n"/>
      <c r="J13" s="12" t="n"/>
      <c r="K13" s="7" t="n"/>
      <c r="L13" s="7" t="n"/>
      <c r="M13" s="7" t="n"/>
    </row>
    <row r="14">
      <c r="A14" s="6" t="n"/>
      <c r="F14" s="12" t="n"/>
      <c r="J14" s="12" t="n"/>
      <c r="K14" s="7" t="n"/>
      <c r="L14" s="7" t="n"/>
      <c r="M14" s="7" t="n"/>
    </row>
    <row r="15">
      <c r="A15" s="6" t="n"/>
      <c r="F15" s="12" t="n"/>
      <c r="J15" s="12" t="n"/>
      <c r="K15" s="7" t="n"/>
      <c r="L15" s="7" t="n"/>
      <c r="M15" s="7" t="n"/>
    </row>
    <row r="16">
      <c r="A16" s="6" t="n"/>
      <c r="F16" s="12" t="n"/>
      <c r="J16" s="12" t="n"/>
      <c r="K16" s="7" t="n"/>
      <c r="L16" s="7" t="n"/>
      <c r="M16" s="7" t="n"/>
    </row>
    <row r="17">
      <c r="A17" s="6" t="n"/>
      <c r="F17" s="12" t="n"/>
      <c r="J17" s="12" t="n"/>
      <c r="K17" s="7" t="n"/>
      <c r="L17" s="7" t="n"/>
      <c r="M17" s="7" t="n"/>
    </row>
    <row r="18">
      <c r="A18" s="6" t="n"/>
      <c r="F18" s="12" t="n"/>
      <c r="J18" s="12" t="n"/>
      <c r="K18" s="7" t="n"/>
      <c r="L18" s="7" t="n"/>
      <c r="M18" s="7" t="n"/>
    </row>
    <row r="19">
      <c r="A19" s="6" t="n"/>
      <c r="F19" s="12" t="n"/>
      <c r="J19" s="12" t="n"/>
      <c r="K19" s="7" t="n"/>
      <c r="L19" s="7" t="n"/>
      <c r="M19" s="7" t="n"/>
    </row>
    <row r="20">
      <c r="A20" s="6" t="n"/>
      <c r="F20" s="12" t="n"/>
      <c r="J20" s="12" t="n"/>
      <c r="K20" s="7" t="n"/>
      <c r="L20" s="7" t="n"/>
      <c r="M20" s="7" t="n"/>
    </row>
    <row r="21">
      <c r="A21" s="6" t="n"/>
      <c r="F21" s="12" t="n"/>
      <c r="J21" s="12" t="n"/>
      <c r="K21" s="7" t="n"/>
      <c r="L21" s="7" t="n"/>
      <c r="M21" s="7" t="n"/>
    </row>
    <row r="22">
      <c r="A22" s="6" t="n"/>
      <c r="F22" s="12" t="n"/>
      <c r="J22" s="12" t="n"/>
      <c r="K22" s="7" t="n"/>
      <c r="L22" s="7" t="n"/>
      <c r="M22" s="7" t="n"/>
    </row>
    <row r="23">
      <c r="A23" s="6" t="n"/>
      <c r="F23" s="12" t="n"/>
      <c r="J23" s="12" t="n"/>
      <c r="K23" s="7" t="n"/>
      <c r="L23" s="7" t="n"/>
      <c r="M23" s="7" t="n"/>
    </row>
    <row r="24">
      <c r="A24" s="6" t="n"/>
      <c r="F24" s="12" t="n"/>
      <c r="J24" s="12" t="n"/>
      <c r="K24" s="7" t="n"/>
      <c r="L24" s="7" t="n"/>
      <c r="M24" s="7" t="n"/>
    </row>
    <row r="25">
      <c r="A25" s="6" t="n"/>
      <c r="F25" s="12" t="n"/>
      <c r="J25" s="12" t="n"/>
      <c r="K25" s="7" t="n"/>
      <c r="L25" s="7" t="n"/>
      <c r="M25" s="7" t="n"/>
    </row>
    <row r="26">
      <c r="A26" s="6" t="n"/>
      <c r="F26" s="12" t="n"/>
      <c r="J26" s="12" t="n"/>
      <c r="K26" s="7" t="n"/>
      <c r="L26" s="7" t="n"/>
      <c r="M26" s="7" t="n"/>
    </row>
    <row r="27">
      <c r="A27" s="6" t="n"/>
      <c r="F27" s="12" t="n"/>
      <c r="J27" s="12" t="n"/>
      <c r="K27" s="7" t="n"/>
      <c r="L27" s="7" t="n"/>
      <c r="M27" s="7" t="n"/>
    </row>
    <row r="28">
      <c r="A28" s="6" t="n"/>
      <c r="F28" s="12" t="n"/>
      <c r="J28" s="12" t="n"/>
      <c r="K28" s="7" t="n"/>
      <c r="L28" s="7" t="n"/>
      <c r="M28" s="7" t="n"/>
    </row>
    <row r="29">
      <c r="A29" s="6" t="n"/>
      <c r="F29" s="12" t="n"/>
      <c r="J29" s="12" t="n"/>
      <c r="K29" s="7" t="n"/>
      <c r="L29" s="7" t="n"/>
      <c r="M29" s="7" t="n"/>
    </row>
    <row r="30">
      <c r="A30" s="6" t="n"/>
      <c r="F30" s="12" t="n"/>
      <c r="J30" s="12" t="n"/>
      <c r="K30" s="7" t="n"/>
      <c r="L30" s="7" t="n"/>
      <c r="M30" s="7" t="n"/>
    </row>
    <row r="31">
      <c r="A31" s="6" t="n"/>
      <c r="F31" s="12" t="n"/>
      <c r="J31" s="12" t="n"/>
      <c r="K31" s="7" t="n"/>
      <c r="L31" s="7" t="n"/>
      <c r="M31" s="7" t="n"/>
    </row>
    <row r="32">
      <c r="A32" s="6" t="n"/>
      <c r="F32" s="12" t="n"/>
      <c r="J32" s="12" t="n"/>
      <c r="K32" s="7" t="n"/>
      <c r="L32" s="7" t="n"/>
      <c r="M32" s="7" t="n"/>
    </row>
    <row r="33">
      <c r="A33" s="6" t="n"/>
      <c r="F33" s="12" t="n"/>
      <c r="J33" s="12" t="n"/>
      <c r="K33" s="7" t="n"/>
      <c r="L33" s="7" t="n"/>
      <c r="M33" s="7" t="n"/>
    </row>
    <row r="34">
      <c r="A34" s="6" t="n"/>
      <c r="F34" s="12" t="n"/>
      <c r="J34" s="12" t="n"/>
      <c r="K34" s="7" t="n"/>
      <c r="L34" s="7" t="n"/>
      <c r="M34" s="7" t="n"/>
    </row>
    <row r="35">
      <c r="A35" s="6" t="n"/>
      <c r="F35" s="12" t="n"/>
      <c r="J35" s="12" t="n"/>
      <c r="K35" s="7" t="n"/>
      <c r="L35" s="7" t="n"/>
      <c r="M35" s="7" t="n"/>
    </row>
    <row r="36">
      <c r="A36" s="6" t="n"/>
      <c r="F36" s="12" t="n"/>
      <c r="J36" s="12" t="n"/>
      <c r="K36" s="7" t="n"/>
      <c r="L36" s="7" t="n"/>
      <c r="M36" s="7" t="n"/>
    </row>
    <row r="37">
      <c r="A37" s="6" t="n"/>
      <c r="F37" s="12" t="n"/>
      <c r="J37" s="12" t="n"/>
      <c r="K37" s="7" t="n"/>
      <c r="L37" s="7" t="n"/>
      <c r="M37" s="7" t="n"/>
    </row>
    <row r="38">
      <c r="A38" s="6" t="n"/>
      <c r="F38" s="12" t="n"/>
      <c r="J38" s="12" t="n"/>
      <c r="K38" s="7" t="n"/>
      <c r="L38" s="7" t="n"/>
      <c r="M38" s="7" t="n"/>
    </row>
    <row r="39">
      <c r="A39" s="6" t="n"/>
      <c r="F39" s="12" t="n"/>
      <c r="J39" s="12" t="n"/>
      <c r="K39" s="7" t="n"/>
      <c r="L39" s="7" t="n"/>
      <c r="M39" s="7" t="n"/>
    </row>
    <row r="40">
      <c r="A40" s="6" t="n"/>
      <c r="F40" s="12" t="n"/>
      <c r="J40" s="12" t="n"/>
      <c r="K40" s="7" t="n"/>
      <c r="L40" s="7" t="n"/>
      <c r="M40" s="7" t="n"/>
    </row>
    <row r="41">
      <c r="A41" s="6" t="n"/>
      <c r="F41" s="12" t="n"/>
      <c r="J41" s="12" t="n"/>
      <c r="K41" s="7" t="n"/>
      <c r="L41" s="7" t="n"/>
      <c r="M41" s="7" t="n"/>
    </row>
    <row r="42">
      <c r="A42" s="6" t="n"/>
      <c r="F42" s="12" t="n"/>
      <c r="J42" s="12" t="n"/>
      <c r="K42" s="7" t="n"/>
      <c r="L42" s="7" t="n"/>
      <c r="M42" s="7" t="n"/>
    </row>
    <row r="43">
      <c r="A43" s="6" t="n"/>
      <c r="F43" s="12" t="n"/>
      <c r="J43" s="12" t="n"/>
      <c r="K43" s="7" t="n"/>
      <c r="L43" s="7" t="n"/>
      <c r="M43" s="7" t="n"/>
    </row>
    <row r="44">
      <c r="A44" s="6" t="n"/>
      <c r="F44" s="12" t="n"/>
      <c r="J44" s="12" t="n"/>
      <c r="K44" s="7" t="n"/>
      <c r="L44" s="7" t="n"/>
      <c r="M44" s="7" t="n"/>
    </row>
    <row r="45">
      <c r="A45" s="6" t="n"/>
      <c r="F45" s="12" t="n"/>
      <c r="J45" s="12" t="n"/>
      <c r="K45" s="7" t="n"/>
      <c r="L45" s="7" t="n"/>
      <c r="M45" s="7" t="n"/>
    </row>
    <row r="46">
      <c r="A46" s="6" t="n"/>
      <c r="F46" s="12" t="n"/>
      <c r="J46" s="12" t="n"/>
      <c r="K46" s="7" t="n"/>
      <c r="L46" s="7" t="n"/>
      <c r="M46" s="7" t="n"/>
    </row>
    <row r="47">
      <c r="A47" s="6" t="n"/>
      <c r="F47" s="12" t="n"/>
      <c r="J47" s="12" t="n"/>
      <c r="K47" s="7" t="n"/>
      <c r="L47" s="7" t="n"/>
      <c r="M47" s="7" t="n"/>
    </row>
    <row r="48">
      <c r="A48" s="6" t="n"/>
      <c r="F48" s="12" t="n"/>
      <c r="J48" s="12" t="n"/>
      <c r="K48" s="7" t="n"/>
      <c r="L48" s="7" t="n"/>
      <c r="M48" s="7" t="n"/>
    </row>
    <row r="49">
      <c r="A49" s="6" t="n"/>
      <c r="F49" s="12" t="n"/>
      <c r="J49" s="12" t="n"/>
      <c r="K49" s="7" t="n"/>
      <c r="L49" s="7" t="n"/>
      <c r="M49" s="7" t="n"/>
    </row>
    <row r="50">
      <c r="A50" s="6" t="n"/>
      <c r="F50" s="12" t="n"/>
      <c r="J50" s="12" t="n"/>
      <c r="K50" s="7" t="n"/>
      <c r="L50" s="7" t="n"/>
      <c r="M50" s="7" t="n"/>
    </row>
    <row r="51">
      <c r="A51" s="6" t="n"/>
      <c r="F51" s="12" t="n"/>
      <c r="J51" s="12" t="n"/>
      <c r="K51" s="7" t="n"/>
      <c r="L51" s="7" t="n"/>
      <c r="M51" s="7" t="n"/>
    </row>
    <row r="52">
      <c r="A52" s="6" t="n"/>
      <c r="F52" s="12" t="n"/>
      <c r="J52" s="12" t="n"/>
      <c r="K52" s="7" t="n"/>
      <c r="L52" s="7" t="n"/>
      <c r="M52" s="7" t="n"/>
    </row>
    <row r="53">
      <c r="A53" s="6" t="n"/>
      <c r="F53" s="12" t="n"/>
      <c r="J53" s="12" t="n"/>
      <c r="K53" s="7" t="n"/>
      <c r="L53" s="7" t="n"/>
      <c r="M53" s="7" t="n"/>
    </row>
    <row r="54">
      <c r="A54" s="6" t="n"/>
      <c r="F54" s="12" t="n"/>
      <c r="J54" s="12" t="n"/>
      <c r="K54" s="7" t="n"/>
      <c r="L54" s="7" t="n"/>
      <c r="M54" s="7" t="n"/>
    </row>
    <row r="55">
      <c r="A55" s="6" t="n"/>
      <c r="F55" s="12" t="n"/>
      <c r="J55" s="12" t="n"/>
      <c r="K55" s="7" t="n"/>
      <c r="L55" s="7" t="n"/>
      <c r="M55" s="7" t="n"/>
    </row>
    <row r="56">
      <c r="A56" s="6" t="n"/>
      <c r="F56" s="12" t="n"/>
      <c r="J56" s="12" t="n"/>
      <c r="K56" s="7" t="n"/>
      <c r="L56" s="7" t="n"/>
      <c r="M56" s="7" t="n"/>
    </row>
    <row r="57">
      <c r="A57" s="6" t="n"/>
      <c r="F57" s="12" t="n"/>
      <c r="J57" s="12" t="n"/>
      <c r="K57" s="7" t="n"/>
      <c r="L57" s="7" t="n"/>
      <c r="M57" s="7" t="n"/>
    </row>
    <row r="58">
      <c r="A58" s="6" t="n"/>
      <c r="F58" s="12" t="n"/>
      <c r="J58" s="12" t="n"/>
      <c r="K58" s="7" t="n"/>
      <c r="L58" s="7" t="n"/>
      <c r="M58" s="7" t="n"/>
    </row>
    <row r="59">
      <c r="A59" s="6" t="n"/>
      <c r="F59" s="12" t="n"/>
      <c r="J59" s="12" t="n"/>
      <c r="K59" s="7" t="n"/>
      <c r="L59" s="7" t="n"/>
      <c r="M59" s="7" t="n"/>
    </row>
    <row r="60">
      <c r="A60" s="6" t="n"/>
      <c r="F60" s="12" t="n"/>
      <c r="J60" s="12" t="n"/>
      <c r="K60" s="7" t="n"/>
      <c r="L60" s="7" t="n"/>
      <c r="M60" s="7" t="n"/>
    </row>
    <row r="61">
      <c r="A61" s="6" t="n"/>
      <c r="F61" s="12" t="n"/>
      <c r="J61" s="12" t="n"/>
      <c r="K61" s="7" t="n"/>
      <c r="L61" s="7" t="n"/>
      <c r="M61" s="7" t="n"/>
    </row>
    <row r="62">
      <c r="A62" s="6" t="n"/>
      <c r="F62" s="12" t="n"/>
      <c r="J62" s="12" t="n"/>
      <c r="K62" s="7" t="n"/>
      <c r="L62" s="7" t="n"/>
      <c r="M62" s="7" t="n"/>
    </row>
    <row r="63">
      <c r="A63" s="6" t="n"/>
      <c r="F63" s="12" t="n"/>
      <c r="J63" s="12" t="n"/>
      <c r="K63" s="7" t="n"/>
      <c r="L63" s="7" t="n"/>
      <c r="M63" s="7" t="n"/>
    </row>
    <row r="64">
      <c r="A64" s="6" t="n"/>
      <c r="F64" s="12" t="n"/>
      <c r="J64" s="12" t="n"/>
      <c r="K64" s="7" t="n"/>
      <c r="L64" s="7" t="n"/>
      <c r="M64" s="7" t="n"/>
    </row>
    <row r="65">
      <c r="A65" s="6" t="n"/>
      <c r="F65" s="12" t="n"/>
      <c r="J65" s="12" t="n"/>
      <c r="K65" s="7" t="n"/>
      <c r="L65" s="7" t="n"/>
      <c r="M65" s="7" t="n"/>
    </row>
    <row r="66">
      <c r="A66" s="6" t="n"/>
      <c r="F66" s="12" t="n"/>
      <c r="J66" s="12" t="n"/>
      <c r="K66" s="7" t="n"/>
      <c r="L66" s="7" t="n"/>
      <c r="M66" s="7" t="n"/>
    </row>
    <row r="67">
      <c r="A67" s="6" t="n"/>
      <c r="F67" s="12" t="n"/>
      <c r="J67" s="12" t="n"/>
      <c r="K67" s="7" t="n"/>
      <c r="L67" s="7" t="n"/>
      <c r="M67" s="7" t="n"/>
    </row>
    <row r="68">
      <c r="A68" s="6" t="n"/>
      <c r="F68" s="12" t="n"/>
      <c r="J68" s="12" t="n"/>
      <c r="K68" s="7" t="n"/>
      <c r="L68" s="7" t="n"/>
      <c r="M68" s="7" t="n"/>
    </row>
    <row r="69">
      <c r="A69" s="6" t="n"/>
      <c r="F69" s="12" t="n"/>
      <c r="J69" s="12" t="n"/>
      <c r="K69" s="7" t="n"/>
      <c r="L69" s="7" t="n"/>
      <c r="M69" s="7" t="n"/>
    </row>
    <row r="70">
      <c r="A70" s="6" t="n"/>
      <c r="F70" s="12" t="n"/>
      <c r="J70" s="12" t="n"/>
      <c r="K70" s="7" t="n"/>
      <c r="L70" s="7" t="n"/>
      <c r="M70" s="7" t="n"/>
    </row>
    <row r="71">
      <c r="A71" s="6" t="n"/>
      <c r="F71" s="12" t="n"/>
      <c r="J71" s="12" t="n"/>
      <c r="K71" s="7" t="n"/>
      <c r="L71" s="7" t="n"/>
      <c r="M71" s="7" t="n"/>
    </row>
    <row r="72">
      <c r="A72" s="6" t="n"/>
      <c r="F72" s="12" t="n"/>
      <c r="J72" s="12" t="n"/>
      <c r="K72" s="7" t="n"/>
      <c r="L72" s="7" t="n"/>
      <c r="M72" s="7" t="n"/>
    </row>
    <row r="73">
      <c r="A73" s="6" t="n"/>
      <c r="F73" s="12" t="n"/>
      <c r="J73" s="12" t="n"/>
      <c r="K73" s="7" t="n"/>
      <c r="L73" s="7" t="n"/>
      <c r="M73" s="7" t="n"/>
    </row>
    <row r="74">
      <c r="A74" s="6" t="n"/>
      <c r="F74" s="12" t="n"/>
      <c r="J74" s="12" t="n"/>
      <c r="K74" s="7" t="n"/>
      <c r="L74" s="7" t="n"/>
      <c r="M74" s="7" t="n"/>
    </row>
    <row r="75">
      <c r="A75" s="6" t="n"/>
      <c r="F75" s="12" t="n"/>
      <c r="J75" s="12" t="n"/>
      <c r="K75" s="7" t="n"/>
      <c r="L75" s="7" t="n"/>
      <c r="M75" s="7" t="n"/>
    </row>
    <row r="76">
      <c r="A76" s="6" t="n"/>
      <c r="F76" s="12" t="n"/>
      <c r="J76" s="12" t="n"/>
      <c r="K76" s="7" t="n"/>
      <c r="L76" s="7" t="n"/>
      <c r="M76" s="7" t="n"/>
    </row>
    <row r="77">
      <c r="A77" s="6" t="n"/>
      <c r="F77" s="12" t="n"/>
      <c r="J77" s="12" t="n"/>
      <c r="K77" s="7" t="n"/>
      <c r="L77" s="7" t="n"/>
      <c r="M77" s="7" t="n"/>
    </row>
    <row r="78">
      <c r="A78" s="6" t="n"/>
      <c r="F78" s="12" t="n"/>
      <c r="J78" s="12" t="n"/>
      <c r="K78" s="7" t="n"/>
      <c r="L78" s="7" t="n"/>
      <c r="M78" s="7" t="n"/>
    </row>
    <row r="79">
      <c r="A79" s="6" t="n"/>
      <c r="F79" s="12" t="n"/>
      <c r="J79" s="12" t="n"/>
      <c r="K79" s="7" t="n"/>
      <c r="L79" s="7" t="n"/>
      <c r="M79" s="7" t="n"/>
    </row>
    <row r="80">
      <c r="A80" s="6" t="n"/>
      <c r="F80" s="12" t="n"/>
      <c r="J80" s="12" t="n"/>
      <c r="K80" s="7" t="n"/>
      <c r="L80" s="7" t="n"/>
      <c r="M80" s="7" t="n"/>
    </row>
    <row r="81">
      <c r="A81" s="6" t="n"/>
      <c r="F81" s="12" t="n"/>
      <c r="J81" s="12" t="n"/>
      <c r="K81" s="7" t="n"/>
      <c r="L81" s="7" t="n"/>
      <c r="M81" s="7" t="n"/>
    </row>
    <row r="82">
      <c r="A82" s="6" t="n"/>
      <c r="F82" s="12" t="n"/>
      <c r="J82" s="12" t="n"/>
      <c r="K82" s="7" t="n"/>
      <c r="L82" s="7" t="n"/>
      <c r="M82" s="7" t="n"/>
    </row>
    <row r="83">
      <c r="A83" s="6" t="n"/>
      <c r="F83" s="12" t="n"/>
      <c r="J83" s="12" t="n"/>
      <c r="K83" s="7" t="n"/>
      <c r="L83" s="7" t="n"/>
      <c r="M83" s="7" t="n"/>
    </row>
    <row r="84">
      <c r="A84" s="6" t="n"/>
      <c r="F84" s="12" t="n"/>
      <c r="J84" s="12" t="n"/>
      <c r="K84" s="7" t="n"/>
      <c r="L84" s="7" t="n"/>
      <c r="M84" s="7" t="n"/>
    </row>
    <row r="85">
      <c r="A85" s="6" t="n"/>
      <c r="F85" s="12" t="n"/>
      <c r="J85" s="12" t="n"/>
      <c r="K85" s="7" t="n"/>
      <c r="L85" s="7" t="n"/>
      <c r="M85" s="7" t="n"/>
    </row>
    <row r="86">
      <c r="A86" s="6" t="n"/>
      <c r="F86" s="12" t="n"/>
      <c r="J86" s="12" t="n"/>
      <c r="K86" s="7" t="n"/>
      <c r="L86" s="7" t="n"/>
      <c r="M86" s="7" t="n"/>
    </row>
    <row r="87">
      <c r="A87" s="6" t="n"/>
      <c r="F87" s="12" t="n"/>
      <c r="J87" s="12" t="n"/>
      <c r="K87" s="7" t="n"/>
      <c r="L87" s="7" t="n"/>
      <c r="M87" s="7" t="n"/>
    </row>
    <row r="88">
      <c r="A88" s="6" t="n"/>
      <c r="F88" s="12" t="n"/>
      <c r="J88" s="12" t="n"/>
      <c r="K88" s="7" t="n"/>
      <c r="L88" s="7" t="n"/>
      <c r="M88" s="7" t="n"/>
    </row>
    <row r="89">
      <c r="A89" s="6" t="n"/>
      <c r="F89" s="12" t="n"/>
      <c r="J89" s="12" t="n"/>
      <c r="K89" s="7" t="n"/>
      <c r="L89" s="7" t="n"/>
      <c r="M89" s="7" t="n"/>
    </row>
    <row r="90">
      <c r="A90" s="6" t="n"/>
      <c r="F90" s="12" t="n"/>
      <c r="J90" s="12" t="n"/>
      <c r="K90" s="7" t="n"/>
      <c r="L90" s="7" t="n"/>
      <c r="M90" s="7" t="n"/>
    </row>
    <row r="91">
      <c r="A91" s="6" t="n"/>
      <c r="F91" s="12" t="n"/>
      <c r="J91" s="12" t="n"/>
      <c r="K91" s="7" t="n"/>
      <c r="L91" s="7" t="n"/>
      <c r="M91" s="7" t="n"/>
    </row>
    <row r="92">
      <c r="A92" s="6" t="n"/>
      <c r="F92" s="12" t="n"/>
      <c r="J92" s="12" t="n"/>
      <c r="K92" s="7" t="n"/>
      <c r="L92" s="7" t="n"/>
      <c r="M92" s="7" t="n"/>
    </row>
    <row r="93">
      <c r="A93" s="6" t="n"/>
      <c r="F93" s="12" t="n"/>
      <c r="J93" s="12" t="n"/>
      <c r="K93" s="7" t="n"/>
      <c r="L93" s="7" t="n"/>
      <c r="M93" s="7" t="n"/>
    </row>
    <row r="94">
      <c r="A94" s="6" t="n"/>
      <c r="F94" s="12" t="n"/>
      <c r="J94" s="12" t="n"/>
      <c r="K94" s="7" t="n"/>
      <c r="L94" s="7" t="n"/>
      <c r="M94" s="7" t="n"/>
    </row>
    <row r="95">
      <c r="A95" s="6" t="n"/>
      <c r="F95" s="12" t="n"/>
      <c r="J95" s="12" t="n"/>
      <c r="K95" s="7" t="n"/>
      <c r="L95" s="7" t="n"/>
      <c r="M95" s="7" t="n"/>
    </row>
    <row r="96">
      <c r="A96" s="6" t="n"/>
      <c r="F96" s="12" t="n"/>
      <c r="J96" s="12" t="n"/>
      <c r="K96" s="7" t="n"/>
      <c r="L96" s="7" t="n"/>
      <c r="M96" s="7" t="n"/>
    </row>
    <row r="97">
      <c r="A97" s="6" t="n"/>
      <c r="F97" s="12" t="n"/>
      <c r="J97" s="12" t="n"/>
      <c r="K97" s="7" t="n"/>
      <c r="L97" s="7" t="n"/>
      <c r="M97" s="7" t="n"/>
    </row>
    <row r="98">
      <c r="A98" s="6" t="n"/>
      <c r="F98" s="12" t="n"/>
      <c r="J98" s="12" t="n"/>
      <c r="K98" s="7" t="n"/>
      <c r="L98" s="7" t="n"/>
      <c r="M98" s="7" t="n"/>
    </row>
    <row r="99">
      <c r="A99" s="6" t="n"/>
      <c r="F99" s="12" t="n"/>
      <c r="J99" s="12" t="n"/>
      <c r="K99" s="7" t="n"/>
      <c r="L99" s="7" t="n"/>
      <c r="M99" s="7" t="n"/>
    </row>
    <row r="100">
      <c r="A100" s="6" t="n"/>
      <c r="F100" s="12" t="n"/>
      <c r="J100" s="12" t="n"/>
      <c r="K100" s="7" t="n"/>
      <c r="L100" s="7" t="n"/>
      <c r="M100" s="7" t="n"/>
    </row>
    <row r="101">
      <c r="A101" s="6" t="n"/>
      <c r="F101" s="12" t="n"/>
      <c r="J101" s="12" t="n"/>
      <c r="K101" s="7" t="n"/>
      <c r="L101" s="7" t="n"/>
      <c r="M101" s="7" t="n"/>
    </row>
    <row r="102">
      <c r="A102" s="6" t="n"/>
      <c r="F102" s="12" t="n"/>
      <c r="J102" s="12" t="n"/>
      <c r="K102" s="7" t="n"/>
      <c r="L102" s="7" t="n"/>
      <c r="M102" s="7" t="n"/>
    </row>
    <row r="103">
      <c r="A103" s="6" t="n"/>
      <c r="F103" s="12" t="n"/>
      <c r="J103" s="12" t="n"/>
      <c r="K103" s="7" t="n"/>
      <c r="L103" s="7" t="n"/>
      <c r="M103" s="7" t="n"/>
    </row>
    <row r="104">
      <c r="A104" s="6" t="n"/>
      <c r="F104" s="12" t="n"/>
      <c r="J104" s="12" t="n"/>
      <c r="K104" s="7" t="n"/>
      <c r="L104" s="7" t="n"/>
      <c r="M104" s="7" t="n"/>
    </row>
    <row r="105">
      <c r="A105" s="6" t="n"/>
      <c r="F105" s="12" t="n"/>
      <c r="J105" s="12" t="n"/>
      <c r="K105" s="7" t="n"/>
      <c r="L105" s="7" t="n"/>
      <c r="M105" s="7" t="n"/>
    </row>
    <row r="106">
      <c r="A106" s="6" t="n"/>
      <c r="F106" s="12" t="n"/>
      <c r="J106" s="12" t="n"/>
      <c r="K106" s="7" t="n"/>
      <c r="L106" s="7" t="n"/>
      <c r="M106" s="7" t="n"/>
    </row>
    <row r="107">
      <c r="A107" s="6" t="n"/>
      <c r="F107" s="12" t="n"/>
      <c r="J107" s="12" t="n"/>
      <c r="K107" s="7" t="n"/>
      <c r="L107" s="7" t="n"/>
      <c r="M107" s="7" t="n"/>
    </row>
    <row r="108">
      <c r="A108" s="6" t="n"/>
      <c r="F108" s="12" t="n"/>
      <c r="J108" s="12" t="n"/>
      <c r="K108" s="7" t="n"/>
      <c r="L108" s="7" t="n"/>
      <c r="M108" s="7" t="n"/>
    </row>
    <row r="109">
      <c r="A109" s="6" t="n"/>
      <c r="F109" s="12" t="n"/>
      <c r="J109" s="12" t="n"/>
      <c r="K109" s="7" t="n"/>
      <c r="L109" s="7" t="n"/>
      <c r="M109" s="7" t="n"/>
    </row>
    <row r="110">
      <c r="A110" s="6" t="n"/>
      <c r="F110" s="12" t="n"/>
      <c r="J110" s="12" t="n"/>
      <c r="K110" s="7" t="n"/>
      <c r="L110" s="7" t="n"/>
      <c r="M110" s="7" t="n"/>
    </row>
    <row r="111">
      <c r="A111" s="6" t="n"/>
      <c r="F111" s="12" t="n"/>
      <c r="J111" s="12" t="n"/>
      <c r="K111" s="7" t="n"/>
      <c r="L111" s="7" t="n"/>
      <c r="M111" s="7" t="n"/>
    </row>
    <row r="112">
      <c r="A112" s="6" t="n"/>
      <c r="F112" s="12" t="n"/>
      <c r="J112" s="12" t="n"/>
      <c r="K112" s="7" t="n"/>
      <c r="L112" s="7" t="n"/>
      <c r="M112" s="7" t="n"/>
    </row>
    <row r="113">
      <c r="A113" s="6" t="n"/>
      <c r="F113" s="12" t="n"/>
      <c r="J113" s="12" t="n"/>
      <c r="K113" s="7" t="n"/>
      <c r="L113" s="7" t="n"/>
      <c r="M113" s="7" t="n"/>
    </row>
    <row r="114">
      <c r="A114" s="6" t="n"/>
      <c r="F114" s="12" t="n"/>
      <c r="J114" s="12" t="n"/>
      <c r="K114" s="7" t="n"/>
      <c r="L114" s="7" t="n"/>
      <c r="M114" s="7" t="n"/>
    </row>
    <row r="115">
      <c r="A115" s="6" t="n"/>
      <c r="F115" s="12" t="n"/>
      <c r="J115" s="12" t="n"/>
      <c r="K115" s="7" t="n"/>
      <c r="L115" s="7" t="n"/>
      <c r="M115" s="7" t="n"/>
    </row>
    <row r="116">
      <c r="A116" s="6" t="n"/>
      <c r="F116" s="12" t="n"/>
      <c r="J116" s="12" t="n"/>
      <c r="K116" s="7" t="n"/>
      <c r="L116" s="7" t="n"/>
      <c r="M116" s="7" t="n"/>
    </row>
    <row r="117">
      <c r="A117" s="6" t="n"/>
      <c r="F117" s="12" t="n"/>
      <c r="J117" s="12" t="n"/>
      <c r="K117" s="7" t="n"/>
      <c r="L117" s="7" t="n"/>
      <c r="M117" s="7" t="n"/>
    </row>
    <row r="118">
      <c r="A118" s="6" t="n"/>
      <c r="F118" s="12" t="n"/>
      <c r="J118" s="12" t="n"/>
      <c r="K118" s="7" t="n"/>
      <c r="L118" s="7" t="n"/>
      <c r="M118" s="7" t="n"/>
    </row>
    <row r="119">
      <c r="A119" s="6" t="n"/>
      <c r="F119" s="12" t="n"/>
      <c r="J119" s="12" t="n"/>
      <c r="K119" s="7" t="n"/>
      <c r="L119" s="7" t="n"/>
      <c r="M119" s="7" t="n"/>
    </row>
    <row r="120">
      <c r="A120" s="6" t="n"/>
      <c r="F120" s="12" t="n"/>
      <c r="J120" s="12" t="n"/>
      <c r="K120" s="7" t="n"/>
      <c r="L120" s="7" t="n"/>
      <c r="M120" s="7" t="n"/>
    </row>
    <row r="121">
      <c r="A121" s="6" t="n"/>
      <c r="F121" s="12" t="n"/>
      <c r="J121" s="12" t="n"/>
      <c r="K121" s="7" t="n"/>
      <c r="L121" s="7" t="n"/>
      <c r="M121" s="7" t="n"/>
    </row>
    <row r="122">
      <c r="A122" s="6" t="n"/>
      <c r="F122" s="12" t="n"/>
      <c r="J122" s="12" t="n"/>
      <c r="K122" s="7" t="n"/>
      <c r="L122" s="7" t="n"/>
      <c r="M122" s="7" t="n"/>
    </row>
    <row r="123">
      <c r="A123" s="6" t="n"/>
      <c r="F123" s="12" t="n"/>
      <c r="J123" s="12" t="n"/>
      <c r="K123" s="7" t="n"/>
      <c r="L123" s="7" t="n"/>
      <c r="M123" s="7" t="n"/>
    </row>
    <row r="124">
      <c r="A124" s="6" t="n"/>
      <c r="F124" s="12" t="n"/>
      <c r="J124" s="12" t="n"/>
      <c r="K124" s="7" t="n"/>
      <c r="L124" s="7" t="n"/>
      <c r="M124" s="7" t="n"/>
    </row>
    <row r="125">
      <c r="A125" s="6" t="n"/>
      <c r="F125" s="12" t="n"/>
      <c r="J125" s="12" t="n"/>
      <c r="K125" s="7" t="n"/>
      <c r="L125" s="7" t="n"/>
      <c r="M125" s="7" t="n"/>
    </row>
    <row r="126">
      <c r="A126" s="6" t="n"/>
      <c r="F126" s="12" t="n"/>
      <c r="J126" s="12" t="n"/>
      <c r="K126" s="7" t="n"/>
      <c r="L126" s="7" t="n"/>
      <c r="M126" s="7" t="n"/>
    </row>
    <row r="127">
      <c r="A127" s="6" t="n"/>
      <c r="F127" s="12" t="n"/>
      <c r="J127" s="12" t="n"/>
      <c r="K127" s="7" t="n"/>
      <c r="L127" s="7" t="n"/>
      <c r="M127" s="7" t="n"/>
    </row>
    <row r="128">
      <c r="A128" s="6" t="n"/>
      <c r="F128" s="12" t="n"/>
      <c r="J128" s="12" t="n"/>
      <c r="K128" s="7" t="n"/>
      <c r="L128" s="7" t="n"/>
      <c r="M128" s="7" t="n"/>
    </row>
    <row r="129">
      <c r="A129" s="6" t="n"/>
      <c r="F129" s="12" t="n"/>
      <c r="J129" s="12" t="n"/>
      <c r="K129" s="7" t="n"/>
      <c r="L129" s="7" t="n"/>
      <c r="M129" s="7" t="n"/>
    </row>
    <row r="130">
      <c r="A130" s="6" t="n"/>
      <c r="F130" s="12" t="n"/>
      <c r="J130" s="12" t="n"/>
      <c r="K130" s="7" t="n"/>
      <c r="L130" s="7" t="n"/>
      <c r="M130" s="7" t="n"/>
    </row>
    <row r="131">
      <c r="A131" s="6" t="n"/>
      <c r="F131" s="12" t="n"/>
      <c r="J131" s="12" t="n"/>
      <c r="K131" s="7" t="n"/>
      <c r="L131" s="7" t="n"/>
      <c r="M131" s="7" t="n"/>
    </row>
    <row r="132">
      <c r="A132" s="6" t="n"/>
      <c r="F132" s="12" t="n"/>
      <c r="J132" s="12" t="n"/>
      <c r="K132" s="7" t="n"/>
      <c r="L132" s="7" t="n"/>
      <c r="M132" s="7" t="n"/>
    </row>
    <row r="133">
      <c r="A133" s="6" t="n"/>
      <c r="F133" s="12" t="n"/>
      <c r="J133" s="12" t="n"/>
      <c r="K133" s="7" t="n"/>
      <c r="L133" s="7" t="n"/>
      <c r="M133" s="7" t="n"/>
    </row>
    <row r="134">
      <c r="A134" s="6" t="n"/>
      <c r="F134" s="12" t="n"/>
      <c r="J134" s="12" t="n"/>
      <c r="K134" s="7" t="n"/>
      <c r="L134" s="7" t="n"/>
      <c r="M134" s="7" t="n"/>
    </row>
    <row r="135">
      <c r="A135" s="6" t="n"/>
      <c r="F135" s="12" t="n"/>
      <c r="J135" s="12" t="n"/>
      <c r="K135" s="7" t="n"/>
      <c r="L135" s="7" t="n"/>
      <c r="M135" s="7" t="n"/>
    </row>
    <row r="136">
      <c r="A136" s="6" t="n"/>
      <c r="F136" s="12" t="n"/>
      <c r="J136" s="12" t="n"/>
      <c r="K136" s="7" t="n"/>
      <c r="L136" s="7" t="n"/>
      <c r="M136" s="7" t="n"/>
    </row>
    <row r="137">
      <c r="A137" s="6" t="n"/>
      <c r="F137" s="12" t="n"/>
      <c r="J137" s="12" t="n"/>
      <c r="K137" s="7" t="n"/>
      <c r="L137" s="7" t="n"/>
      <c r="M137" s="7" t="n"/>
    </row>
    <row r="138">
      <c r="A138" s="6" t="n"/>
      <c r="F138" s="12" t="n"/>
      <c r="J138" s="12" t="n"/>
      <c r="K138" s="7" t="n"/>
      <c r="L138" s="7" t="n"/>
      <c r="M138" s="7" t="n"/>
    </row>
    <row r="139">
      <c r="A139" s="6" t="n"/>
      <c r="F139" s="12" t="n"/>
      <c r="J139" s="12" t="n"/>
      <c r="K139" s="7" t="n"/>
      <c r="L139" s="7" t="n"/>
      <c r="M139" s="7" t="n"/>
    </row>
    <row r="140">
      <c r="A140" s="6" t="n"/>
      <c r="F140" s="12" t="n"/>
      <c r="J140" s="12" t="n"/>
      <c r="K140" s="7" t="n"/>
      <c r="L140" s="7" t="n"/>
      <c r="M140" s="7" t="n"/>
    </row>
    <row r="141">
      <c r="A141" s="6" t="n"/>
      <c r="F141" s="12" t="n"/>
      <c r="J141" s="12" t="n"/>
      <c r="K141" s="7" t="n"/>
      <c r="L141" s="7" t="n"/>
      <c r="M141" s="7" t="n"/>
    </row>
    <row r="142">
      <c r="A142" s="6" t="n"/>
      <c r="F142" s="12" t="n"/>
      <c r="J142" s="12" t="n"/>
      <c r="K142" s="7" t="n"/>
      <c r="L142" s="7" t="n"/>
      <c r="M142" s="7" t="n"/>
    </row>
    <row r="143">
      <c r="A143" s="6" t="n"/>
      <c r="F143" s="12" t="n"/>
      <c r="J143" s="12" t="n"/>
      <c r="K143" s="7" t="n"/>
      <c r="L143" s="7" t="n"/>
      <c r="M143" s="7" t="n"/>
    </row>
    <row r="144">
      <c r="A144" s="6" t="n"/>
      <c r="F144" s="12" t="n"/>
      <c r="J144" s="12" t="n"/>
      <c r="K144" s="7" t="n"/>
      <c r="L144" s="7" t="n"/>
      <c r="M144" s="7" t="n"/>
    </row>
    <row r="145">
      <c r="A145" s="6" t="n"/>
      <c r="F145" s="12" t="n"/>
      <c r="J145" s="12" t="n"/>
      <c r="K145" s="7" t="n"/>
      <c r="L145" s="7" t="n"/>
      <c r="M145" s="7" t="n"/>
    </row>
    <row r="146">
      <c r="A146" s="6" t="n"/>
      <c r="F146" s="12" t="n"/>
      <c r="J146" s="12" t="n"/>
      <c r="K146" s="7" t="n"/>
      <c r="L146" s="7" t="n"/>
      <c r="M146" s="7" t="n"/>
    </row>
    <row r="147">
      <c r="A147" s="6" t="n"/>
      <c r="F147" s="12" t="n"/>
      <c r="J147" s="12" t="n"/>
      <c r="K147" s="7" t="n"/>
      <c r="L147" s="7" t="n"/>
      <c r="M147" s="7" t="n"/>
    </row>
    <row r="148">
      <c r="A148" s="6" t="n"/>
      <c r="F148" s="12" t="n"/>
      <c r="J148" s="12" t="n"/>
      <c r="K148" s="7" t="n"/>
      <c r="L148" s="7" t="n"/>
      <c r="M148" s="7" t="n"/>
    </row>
    <row r="149">
      <c r="A149" s="6" t="n"/>
      <c r="F149" s="12" t="n"/>
      <c r="J149" s="12" t="n"/>
      <c r="K149" s="7" t="n"/>
      <c r="L149" s="7" t="n"/>
      <c r="M149" s="7" t="n"/>
    </row>
    <row r="150">
      <c r="A150" s="6" t="n"/>
      <c r="F150" s="12" t="n"/>
      <c r="J150" s="12" t="n"/>
      <c r="K150" s="7" t="n"/>
      <c r="L150" s="7" t="n"/>
      <c r="M150" s="7" t="n"/>
    </row>
    <row r="151">
      <c r="A151" s="6" t="n"/>
      <c r="F151" s="12" t="n"/>
      <c r="J151" s="12" t="n"/>
      <c r="K151" s="7" t="n"/>
      <c r="L151" s="7" t="n"/>
      <c r="M151" s="7" t="n"/>
    </row>
    <row r="152">
      <c r="A152" s="6" t="n"/>
      <c r="F152" s="12" t="n"/>
      <c r="J152" s="12" t="n"/>
      <c r="K152" s="7" t="n"/>
      <c r="L152" s="7" t="n"/>
      <c r="M152" s="7" t="n"/>
    </row>
    <row r="153">
      <c r="A153" s="6" t="n"/>
      <c r="F153" s="12" t="n"/>
      <c r="J153" s="12" t="n"/>
      <c r="K153" s="7" t="n"/>
      <c r="L153" s="7" t="n"/>
      <c r="M153" s="7" t="n"/>
    </row>
    <row r="154">
      <c r="A154" s="6" t="n"/>
      <c r="F154" s="12" t="n"/>
      <c r="J154" s="12" t="n"/>
      <c r="K154" s="7" t="n"/>
      <c r="L154" s="7" t="n"/>
      <c r="M154" s="7" t="n"/>
    </row>
    <row r="155">
      <c r="A155" s="6" t="n"/>
      <c r="F155" s="12" t="n"/>
      <c r="J155" s="12" t="n"/>
      <c r="K155" s="7" t="n"/>
      <c r="L155" s="7" t="n"/>
      <c r="M155" s="7" t="n"/>
    </row>
    <row r="156">
      <c r="A156" s="6" t="n"/>
      <c r="F156" s="12" t="n"/>
      <c r="J156" s="12" t="n"/>
      <c r="K156" s="7" t="n"/>
      <c r="L156" s="7" t="n"/>
      <c r="M156" s="7" t="n"/>
    </row>
    <row r="157">
      <c r="A157" s="6" t="n"/>
      <c r="F157" s="12" t="n"/>
      <c r="J157" s="12" t="n"/>
      <c r="K157" s="7" t="n"/>
      <c r="L157" s="7" t="n"/>
      <c r="M157" s="7" t="n"/>
    </row>
    <row r="158">
      <c r="A158" s="6" t="n"/>
      <c r="F158" s="12" t="n"/>
      <c r="J158" s="12" t="n"/>
      <c r="K158" s="7" t="n"/>
      <c r="L158" s="7" t="n"/>
      <c r="M158" s="7" t="n"/>
    </row>
    <row r="159">
      <c r="A159" s="6" t="n"/>
      <c r="F159" s="12" t="n"/>
      <c r="J159" s="12" t="n"/>
      <c r="K159" s="7" t="n"/>
      <c r="L159" s="7" t="n"/>
      <c r="M159" s="7" t="n"/>
    </row>
    <row r="160">
      <c r="A160" s="6" t="n"/>
      <c r="F160" s="12" t="n"/>
      <c r="J160" s="12" t="n"/>
      <c r="K160" s="7" t="n"/>
      <c r="L160" s="7" t="n"/>
      <c r="M160" s="7" t="n"/>
    </row>
    <row r="161">
      <c r="A161" s="6" t="n"/>
      <c r="F161" s="12" t="n"/>
      <c r="J161" s="12" t="n"/>
      <c r="K161" s="7" t="n"/>
      <c r="L161" s="7" t="n"/>
      <c r="M161" s="7" t="n"/>
    </row>
    <row r="162">
      <c r="A162" s="6" t="n"/>
      <c r="F162" s="12" t="n"/>
      <c r="J162" s="12" t="n"/>
      <c r="K162" s="7" t="n"/>
      <c r="L162" s="7" t="n"/>
      <c r="M162" s="7" t="n"/>
    </row>
    <row r="163">
      <c r="A163" s="6" t="n"/>
      <c r="F163" s="12" t="n"/>
      <c r="J163" s="12" t="n"/>
      <c r="K163" s="7" t="n"/>
      <c r="L163" s="7" t="n"/>
      <c r="M163" s="7" t="n"/>
    </row>
    <row r="164">
      <c r="A164" s="6" t="n"/>
      <c r="F164" s="12" t="n"/>
      <c r="J164" s="12" t="n"/>
      <c r="K164" s="7" t="n"/>
      <c r="L164" s="7" t="n"/>
      <c r="M164" s="7" t="n"/>
    </row>
    <row r="165">
      <c r="A165" s="6" t="n"/>
      <c r="F165" s="12" t="n"/>
      <c r="J165" s="12" t="n"/>
      <c r="K165" s="7" t="n"/>
      <c r="L165" s="7" t="n"/>
      <c r="M165" s="7" t="n"/>
    </row>
    <row r="166">
      <c r="A166" s="6" t="n"/>
      <c r="F166" s="12" t="n"/>
      <c r="J166" s="12" t="n"/>
      <c r="K166" s="7" t="n"/>
      <c r="L166" s="7" t="n"/>
      <c r="M166" s="7" t="n"/>
    </row>
    <row r="167">
      <c r="A167" s="6" t="n"/>
      <c r="F167" s="12" t="n"/>
      <c r="J167" s="12" t="n"/>
      <c r="K167" s="7" t="n"/>
      <c r="L167" s="7" t="n"/>
      <c r="M167" s="7" t="n"/>
    </row>
    <row r="168">
      <c r="A168" s="6" t="n"/>
      <c r="F168" s="12" t="n"/>
      <c r="J168" s="12" t="n"/>
      <c r="K168" s="7" t="n"/>
      <c r="L168" s="7" t="n"/>
      <c r="M168" s="7" t="n"/>
    </row>
    <row r="169">
      <c r="A169" s="6" t="n"/>
      <c r="F169" s="12" t="n"/>
      <c r="J169" s="12" t="n"/>
      <c r="K169" s="7" t="n"/>
      <c r="L169" s="7" t="n"/>
      <c r="M169" s="7" t="n"/>
    </row>
    <row r="170">
      <c r="A170" s="6" t="n"/>
      <c r="F170" s="12" t="n"/>
      <c r="J170" s="12" t="n"/>
      <c r="K170" s="7" t="n"/>
      <c r="L170" s="7" t="n"/>
      <c r="M170" s="7" t="n"/>
    </row>
    <row r="171">
      <c r="A171" s="6" t="n"/>
      <c r="F171" s="12" t="n"/>
      <c r="J171" s="12" t="n"/>
      <c r="K171" s="7" t="n"/>
      <c r="L171" s="7" t="n"/>
      <c r="M171" s="7" t="n"/>
    </row>
    <row r="172">
      <c r="A172" s="6" t="n"/>
      <c r="F172" s="12" t="n"/>
      <c r="J172" s="12" t="n"/>
      <c r="K172" s="7" t="n"/>
      <c r="L172" s="7" t="n"/>
      <c r="M172" s="7" t="n"/>
    </row>
    <row r="173">
      <c r="A173" s="6" t="n"/>
      <c r="F173" s="12" t="n"/>
      <c r="J173" s="12" t="n"/>
      <c r="K173" s="7" t="n"/>
      <c r="L173" s="7" t="n"/>
      <c r="M173" s="7" t="n"/>
    </row>
    <row r="174">
      <c r="A174" s="6" t="n"/>
      <c r="F174" s="12" t="n"/>
      <c r="J174" s="12" t="n"/>
      <c r="K174" s="7" t="n"/>
      <c r="L174" s="7" t="n"/>
      <c r="M174" s="7" t="n"/>
    </row>
    <row r="175">
      <c r="A175" s="6" t="n"/>
      <c r="F175" s="12" t="n"/>
      <c r="J175" s="12" t="n"/>
      <c r="K175" s="7" t="n"/>
      <c r="L175" s="7" t="n"/>
      <c r="M175" s="7" t="n"/>
    </row>
    <row r="176">
      <c r="A176" s="6" t="n"/>
      <c r="F176" s="12" t="n"/>
      <c r="J176" s="12" t="n"/>
      <c r="K176" s="7" t="n"/>
      <c r="L176" s="7" t="n"/>
      <c r="M176" s="7" t="n"/>
    </row>
    <row r="177">
      <c r="A177" s="6" t="n"/>
      <c r="F177" s="12" t="n"/>
      <c r="J177" s="12" t="n"/>
      <c r="K177" s="7" t="n"/>
      <c r="L177" s="7" t="n"/>
      <c r="M177" s="7" t="n"/>
    </row>
    <row r="178">
      <c r="A178" s="6" t="n"/>
      <c r="F178" s="12" t="n"/>
      <c r="J178" s="12" t="n"/>
      <c r="K178" s="7" t="n"/>
      <c r="L178" s="7" t="n"/>
      <c r="M178" s="7" t="n"/>
    </row>
    <row r="179">
      <c r="A179" s="6" t="n"/>
      <c r="F179" s="12" t="n"/>
      <c r="J179" s="12" t="n"/>
      <c r="K179" s="7" t="n"/>
      <c r="L179" s="7" t="n"/>
      <c r="M179" s="7" t="n"/>
    </row>
    <row r="180">
      <c r="A180" s="6" t="n"/>
      <c r="F180" s="12" t="n"/>
      <c r="J180" s="12" t="n"/>
      <c r="K180" s="7" t="n"/>
      <c r="L180" s="7" t="n"/>
      <c r="M180" s="7" t="n"/>
    </row>
    <row r="181">
      <c r="A181" s="6" t="n"/>
      <c r="F181" s="12" t="n"/>
      <c r="J181" s="12" t="n"/>
      <c r="K181" s="7" t="n"/>
      <c r="L181" s="7" t="n"/>
      <c r="M181" s="7" t="n"/>
    </row>
    <row r="182">
      <c r="A182" s="6" t="n"/>
      <c r="F182" s="12" t="n"/>
      <c r="J182" s="12" t="n"/>
      <c r="K182" s="7" t="n"/>
      <c r="L182" s="7" t="n"/>
      <c r="M182" s="7" t="n"/>
    </row>
    <row r="183">
      <c r="A183" s="6" t="n"/>
      <c r="F183" s="12" t="n"/>
      <c r="J183" s="12" t="n"/>
      <c r="K183" s="7" t="n"/>
      <c r="L183" s="7" t="n"/>
      <c r="M183" s="7" t="n"/>
    </row>
    <row r="184">
      <c r="A184" s="6" t="n"/>
      <c r="F184" s="12" t="n"/>
      <c r="J184" s="12" t="n"/>
      <c r="K184" s="7" t="n"/>
      <c r="L184" s="7" t="n"/>
      <c r="M184" s="7" t="n"/>
    </row>
    <row r="185">
      <c r="A185" s="6" t="n"/>
      <c r="F185" s="12" t="n"/>
      <c r="J185" s="12" t="n"/>
      <c r="K185" s="7" t="n"/>
      <c r="L185" s="7" t="n"/>
      <c r="M185" s="7" t="n"/>
    </row>
    <row r="186">
      <c r="A186" s="6" t="n"/>
      <c r="F186" s="12" t="n"/>
      <c r="J186" s="12" t="n"/>
      <c r="K186" s="7" t="n"/>
      <c r="L186" s="7" t="n"/>
      <c r="M186" s="7" t="n"/>
    </row>
    <row r="187">
      <c r="A187" s="6" t="n"/>
      <c r="F187" s="12" t="n"/>
      <c r="J187" s="12" t="n"/>
      <c r="K187" s="7" t="n"/>
      <c r="L187" s="7" t="n"/>
      <c r="M187" s="7" t="n"/>
    </row>
    <row r="188">
      <c r="A188" s="6" t="n"/>
      <c r="F188" s="12" t="n"/>
      <c r="J188" s="12" t="n"/>
      <c r="K188" s="7" t="n"/>
      <c r="L188" s="7" t="n"/>
      <c r="M188" s="7" t="n"/>
    </row>
    <row r="189">
      <c r="A189" s="6" t="n"/>
      <c r="F189" s="12" t="n"/>
      <c r="J189" s="12" t="n"/>
      <c r="K189" s="7" t="n"/>
      <c r="L189" s="7" t="n"/>
      <c r="M189" s="7" t="n"/>
    </row>
    <row r="190">
      <c r="A190" s="6" t="n"/>
      <c r="F190" s="12" t="n"/>
      <c r="J190" s="12" t="n"/>
      <c r="K190" s="7" t="n"/>
      <c r="L190" s="7" t="n"/>
      <c r="M190" s="7" t="n"/>
    </row>
    <row r="191">
      <c r="A191" s="6" t="n"/>
      <c r="F191" s="12" t="n"/>
      <c r="J191" s="12" t="n"/>
      <c r="K191" s="7" t="n"/>
      <c r="L191" s="7" t="n"/>
      <c r="M191" s="7" t="n"/>
    </row>
    <row r="192">
      <c r="A192" s="6" t="n"/>
      <c r="F192" s="12" t="n"/>
      <c r="J192" s="12" t="n"/>
      <c r="K192" s="7" t="n"/>
      <c r="L192" s="7" t="n"/>
      <c r="M192" s="7" t="n"/>
    </row>
    <row r="193">
      <c r="A193" s="6" t="n"/>
      <c r="F193" s="12" t="n"/>
      <c r="J193" s="12" t="n"/>
      <c r="K193" s="7" t="n"/>
      <c r="L193" s="7" t="n"/>
      <c r="M193" s="7" t="n"/>
    </row>
    <row r="194">
      <c r="A194" s="6" t="n"/>
      <c r="F194" s="12" t="n"/>
      <c r="J194" s="12" t="n"/>
      <c r="K194" s="7" t="n"/>
      <c r="L194" s="7" t="n"/>
      <c r="M194" s="7" t="n"/>
    </row>
    <row r="195">
      <c r="A195" s="6" t="n"/>
      <c r="F195" s="12" t="n"/>
      <c r="J195" s="12" t="n"/>
      <c r="K195" s="7" t="n"/>
      <c r="L195" s="7" t="n"/>
      <c r="M195" s="7" t="n"/>
    </row>
    <row r="196">
      <c r="A196" s="6" t="n"/>
      <c r="F196" s="12" t="n"/>
      <c r="J196" s="12" t="n"/>
      <c r="K196" s="7" t="n"/>
      <c r="L196" s="7" t="n"/>
      <c r="M196" s="7" t="n"/>
    </row>
    <row r="197">
      <c r="A197" s="6" t="n"/>
      <c r="F197" s="12" t="n"/>
      <c r="J197" s="12" t="n"/>
      <c r="K197" s="7" t="n"/>
      <c r="L197" s="7" t="n"/>
      <c r="M197" s="7" t="n"/>
    </row>
    <row r="198">
      <c r="A198" s="6" t="n"/>
      <c r="F198" s="12" t="n"/>
      <c r="J198" s="12" t="n"/>
      <c r="K198" s="7" t="n"/>
      <c r="L198" s="7" t="n"/>
      <c r="M198" s="7" t="n"/>
    </row>
    <row r="199">
      <c r="A199" s="6" t="n"/>
      <c r="F199" s="12" t="n"/>
      <c r="J199" s="12" t="n"/>
      <c r="K199" s="7" t="n"/>
      <c r="L199" s="7" t="n"/>
      <c r="M199" s="7" t="n"/>
    </row>
    <row r="200">
      <c r="A200" s="6" t="n"/>
      <c r="F200" s="12" t="n"/>
      <c r="J200" s="12" t="n"/>
      <c r="K200" s="7" t="n"/>
      <c r="L200" s="7" t="n"/>
      <c r="M200" s="7" t="n"/>
    </row>
    <row r="201">
      <c r="A201" s="6" t="n"/>
      <c r="F201" s="12" t="n"/>
      <c r="J201" s="12" t="n"/>
      <c r="K201" s="7" t="n"/>
      <c r="L201" s="7" t="n"/>
      <c r="M201" s="7" t="n"/>
    </row>
    <row r="202">
      <c r="A202" s="6" t="n"/>
      <c r="F202" s="12" t="n"/>
      <c r="J202" s="12" t="n"/>
      <c r="K202" s="7" t="n"/>
      <c r="L202" s="7" t="n"/>
      <c r="M202" s="7" t="n"/>
    </row>
    <row r="203">
      <c r="A203" s="6" t="n"/>
      <c r="F203" s="12" t="n"/>
      <c r="J203" s="12" t="n"/>
      <c r="K203" s="7" t="n"/>
      <c r="L203" s="7" t="n"/>
      <c r="M203" s="7" t="n"/>
    </row>
    <row r="204">
      <c r="A204" s="6" t="n"/>
      <c r="F204" s="12" t="n"/>
      <c r="J204" s="12" t="n"/>
      <c r="K204" s="7" t="n"/>
      <c r="L204" s="7" t="n"/>
      <c r="M204" s="7" t="n"/>
    </row>
    <row r="205">
      <c r="A205" s="6" t="n"/>
      <c r="F205" s="12" t="n"/>
      <c r="J205" s="12" t="n"/>
      <c r="K205" s="7" t="n"/>
      <c r="L205" s="7" t="n"/>
      <c r="M205" s="7" t="n"/>
    </row>
    <row r="206">
      <c r="A206" s="6" t="n"/>
      <c r="F206" s="12" t="n"/>
      <c r="J206" s="12" t="n"/>
      <c r="K206" s="7" t="n"/>
      <c r="L206" s="7" t="n"/>
      <c r="M206" s="7" t="n"/>
    </row>
    <row r="207">
      <c r="A207" s="6" t="n"/>
      <c r="F207" s="12" t="n"/>
      <c r="J207" s="12" t="n"/>
      <c r="K207" s="7" t="n"/>
      <c r="L207" s="7" t="n"/>
      <c r="M207" s="7" t="n"/>
    </row>
    <row r="208">
      <c r="A208" s="6" t="n"/>
      <c r="F208" s="12" t="n"/>
      <c r="J208" s="12" t="n"/>
      <c r="K208" s="7" t="n"/>
      <c r="L208" s="7" t="n"/>
      <c r="M208" s="7" t="n"/>
    </row>
    <row r="209">
      <c r="A209" s="6" t="n"/>
      <c r="F209" s="12" t="n"/>
      <c r="J209" s="12" t="n"/>
      <c r="K209" s="7" t="n"/>
      <c r="L209" s="7" t="n"/>
      <c r="M209" s="7" t="n"/>
    </row>
    <row r="210">
      <c r="A210" s="6" t="n"/>
      <c r="F210" s="12" t="n"/>
      <c r="J210" s="12" t="n"/>
      <c r="K210" s="7" t="n"/>
      <c r="L210" s="7" t="n"/>
      <c r="M210" s="7" t="n"/>
    </row>
    <row r="211">
      <c r="A211" s="6" t="n"/>
      <c r="F211" s="12" t="n"/>
      <c r="J211" s="12" t="n"/>
      <c r="K211" s="7" t="n"/>
      <c r="L211" s="7" t="n"/>
      <c r="M211" s="7" t="n"/>
    </row>
    <row r="212">
      <c r="A212" s="6" t="n"/>
      <c r="F212" s="12" t="n"/>
      <c r="J212" s="12" t="n"/>
      <c r="K212" s="7" t="n"/>
      <c r="L212" s="7" t="n"/>
      <c r="M212" s="7" t="n"/>
    </row>
    <row r="213">
      <c r="A213" s="6" t="n"/>
      <c r="F213" s="12" t="n"/>
      <c r="J213" s="12" t="n"/>
      <c r="K213" s="7" t="n"/>
      <c r="L213" s="7" t="n"/>
      <c r="M213" s="7" t="n"/>
    </row>
    <row r="214">
      <c r="A214" s="6" t="n"/>
      <c r="F214" s="12" t="n"/>
      <c r="J214" s="12" t="n"/>
      <c r="K214" s="7" t="n"/>
      <c r="L214" s="7" t="n"/>
      <c r="M214" s="7" t="n"/>
    </row>
    <row r="215">
      <c r="A215" s="6" t="n"/>
      <c r="F215" s="12" t="n"/>
      <c r="J215" s="12" t="n"/>
      <c r="K215" s="7" t="n"/>
      <c r="L215" s="7" t="n"/>
      <c r="M215" s="7" t="n"/>
    </row>
    <row r="216">
      <c r="A216" s="6" t="n"/>
      <c r="F216" s="12" t="n"/>
      <c r="J216" s="12" t="n"/>
      <c r="K216" s="7" t="n"/>
      <c r="L216" s="7" t="n"/>
      <c r="M216" s="7" t="n"/>
    </row>
    <row r="217">
      <c r="A217" s="6" t="n"/>
      <c r="F217" s="12" t="n"/>
      <c r="J217" s="12" t="n"/>
      <c r="K217" s="7" t="n"/>
      <c r="L217" s="7" t="n"/>
      <c r="M217" s="7" t="n"/>
    </row>
    <row r="218">
      <c r="A218" s="6" t="n"/>
      <c r="F218" s="12" t="n"/>
      <c r="J218" s="12" t="n"/>
      <c r="K218" s="7" t="n"/>
      <c r="L218" s="7" t="n"/>
      <c r="M218" s="7" t="n"/>
    </row>
    <row r="219">
      <c r="A219" s="6" t="n"/>
      <c r="F219" s="12" t="n"/>
      <c r="J219" s="12" t="n"/>
      <c r="K219" s="7" t="n"/>
      <c r="L219" s="7" t="n"/>
      <c r="M219" s="7" t="n"/>
    </row>
    <row r="220">
      <c r="A220" s="6" t="n"/>
      <c r="F220" s="12" t="n"/>
      <c r="J220" s="12" t="n"/>
      <c r="K220" s="7" t="n"/>
      <c r="L220" s="7" t="n"/>
      <c r="M220" s="7" t="n"/>
    </row>
    <row r="221">
      <c r="A221" s="6" t="n"/>
      <c r="F221" s="12" t="n"/>
      <c r="J221" s="12" t="n"/>
      <c r="K221" s="7" t="n"/>
      <c r="L221" s="7" t="n"/>
      <c r="M221" s="7" t="n"/>
    </row>
    <row r="222">
      <c r="A222" s="6" t="n"/>
      <c r="F222" s="12" t="n"/>
      <c r="J222" s="12" t="n"/>
      <c r="K222" s="7" t="n"/>
      <c r="L222" s="7" t="n"/>
      <c r="M222" s="7" t="n"/>
    </row>
    <row r="223">
      <c r="A223" s="6" t="n"/>
      <c r="F223" s="12" t="n"/>
      <c r="J223" s="12" t="n"/>
      <c r="K223" s="7" t="n"/>
      <c r="L223" s="7" t="n"/>
      <c r="M223" s="7" t="n"/>
    </row>
    <row r="224">
      <c r="A224" s="6" t="n"/>
      <c r="F224" s="12" t="n"/>
      <c r="J224" s="12" t="n"/>
      <c r="K224" s="7" t="n"/>
      <c r="L224" s="7" t="n"/>
      <c r="M224" s="7" t="n"/>
    </row>
    <row r="225">
      <c r="A225" s="6" t="n"/>
      <c r="F225" s="12" t="n"/>
      <c r="J225" s="12" t="n"/>
      <c r="K225" s="7" t="n"/>
      <c r="L225" s="7" t="n"/>
      <c r="M225" s="7" t="n"/>
    </row>
    <row r="226">
      <c r="A226" s="6" t="n"/>
      <c r="F226" s="12" t="n"/>
      <c r="J226" s="12" t="n"/>
      <c r="K226" s="7" t="n"/>
      <c r="L226" s="7" t="n"/>
      <c r="M226" s="7" t="n"/>
    </row>
    <row r="227">
      <c r="A227" s="6" t="n"/>
      <c r="F227" s="12" t="n"/>
      <c r="J227" s="12" t="n"/>
      <c r="K227" s="7" t="n"/>
      <c r="L227" s="7" t="n"/>
      <c r="M227" s="7" t="n"/>
    </row>
    <row r="228">
      <c r="A228" s="6" t="n"/>
      <c r="F228" s="12" t="n"/>
      <c r="J228" s="12" t="n"/>
      <c r="K228" s="7" t="n"/>
      <c r="L228" s="7" t="n"/>
      <c r="M228" s="7" t="n"/>
    </row>
    <row r="229">
      <c r="A229" s="6" t="n"/>
      <c r="F229" s="12" t="n"/>
      <c r="J229" s="12" t="n"/>
      <c r="K229" s="7" t="n"/>
      <c r="L229" s="7" t="n"/>
      <c r="M229" s="7" t="n"/>
    </row>
    <row r="230">
      <c r="A230" s="6" t="n"/>
      <c r="F230" s="12" t="n"/>
      <c r="J230" s="12" t="n"/>
      <c r="K230" s="7" t="n"/>
      <c r="L230" s="7" t="n"/>
      <c r="M230" s="7" t="n"/>
    </row>
    <row r="231">
      <c r="A231" s="6" t="n"/>
      <c r="F231" s="12" t="n"/>
      <c r="J231" s="12" t="n"/>
      <c r="K231" s="7" t="n"/>
      <c r="L231" s="7" t="n"/>
      <c r="M231" s="7" t="n"/>
    </row>
    <row r="232">
      <c r="A232" s="6" t="n"/>
      <c r="F232" s="12" t="n"/>
      <c r="J232" s="12" t="n"/>
      <c r="K232" s="7" t="n"/>
      <c r="L232" s="7" t="n"/>
      <c r="M232" s="7" t="n"/>
    </row>
    <row r="233">
      <c r="A233" s="6" t="n"/>
      <c r="F233" s="12" t="n"/>
      <c r="J233" s="12" t="n"/>
      <c r="K233" s="7" t="n"/>
      <c r="L233" s="7" t="n"/>
      <c r="M233" s="7" t="n"/>
    </row>
    <row r="234">
      <c r="A234" s="6" t="n"/>
      <c r="F234" s="12" t="n"/>
      <c r="J234" s="12" t="n"/>
      <c r="K234" s="7" t="n"/>
      <c r="L234" s="7" t="n"/>
      <c r="M234" s="7" t="n"/>
    </row>
    <row r="235">
      <c r="A235" s="6" t="n"/>
      <c r="F235" s="12" t="n"/>
      <c r="J235" s="12" t="n"/>
      <c r="K235" s="7" t="n"/>
      <c r="L235" s="7" t="n"/>
      <c r="M235" s="7" t="n"/>
    </row>
    <row r="236">
      <c r="A236" s="6" t="n"/>
      <c r="F236" s="12" t="n"/>
      <c r="J236" s="12" t="n"/>
      <c r="K236" s="7" t="n"/>
      <c r="L236" s="7" t="n"/>
      <c r="M236" s="7" t="n"/>
    </row>
    <row r="237">
      <c r="A237" s="6" t="n"/>
      <c r="F237" s="12" t="n"/>
      <c r="J237" s="12" t="n"/>
      <c r="K237" s="7" t="n"/>
      <c r="L237" s="7" t="n"/>
      <c r="M237" s="7" t="n"/>
    </row>
    <row r="238">
      <c r="A238" s="6" t="n"/>
      <c r="F238" s="12" t="n"/>
      <c r="J238" s="12" t="n"/>
      <c r="K238" s="7" t="n"/>
      <c r="L238" s="7" t="n"/>
      <c r="M238" s="7" t="n"/>
    </row>
    <row r="239">
      <c r="A239" s="6" t="n"/>
      <c r="F239" s="12" t="n"/>
      <c r="J239" s="12" t="n"/>
      <c r="K239" s="7" t="n"/>
      <c r="L239" s="7" t="n"/>
      <c r="M239" s="7" t="n"/>
    </row>
    <row r="240">
      <c r="A240" s="6" t="n"/>
      <c r="F240" s="12" t="n"/>
      <c r="J240" s="12" t="n"/>
      <c r="K240" s="7" t="n"/>
      <c r="L240" s="7" t="n"/>
      <c r="M240" s="7" t="n"/>
    </row>
    <row r="241">
      <c r="A241" s="6" t="n"/>
      <c r="F241" s="12" t="n"/>
      <c r="J241" s="12" t="n"/>
      <c r="K241" s="7" t="n"/>
      <c r="L241" s="7" t="n"/>
      <c r="M241" s="7" t="n"/>
    </row>
    <row r="242">
      <c r="A242" s="6" t="n"/>
      <c r="F242" s="12" t="n"/>
      <c r="J242" s="12" t="n"/>
      <c r="K242" s="7" t="n"/>
      <c r="L242" s="7" t="n"/>
      <c r="M242" s="7" t="n"/>
    </row>
    <row r="243">
      <c r="A243" s="6" t="n"/>
      <c r="F243" s="12" t="n"/>
      <c r="J243" s="12" t="n"/>
      <c r="K243" s="7" t="n"/>
      <c r="L243" s="7" t="n"/>
      <c r="M243" s="7" t="n"/>
    </row>
    <row r="244">
      <c r="A244" s="6" t="n"/>
      <c r="F244" s="12" t="n"/>
      <c r="J244" s="12" t="n"/>
      <c r="K244" s="7" t="n"/>
      <c r="L244" s="7" t="n"/>
      <c r="M244" s="7" t="n"/>
    </row>
    <row r="245">
      <c r="A245" s="6" t="n"/>
      <c r="F245" s="12" t="n"/>
      <c r="J245" s="12" t="n"/>
      <c r="K245" s="7" t="n"/>
      <c r="L245" s="7" t="n"/>
      <c r="M245" s="7" t="n"/>
    </row>
    <row r="246">
      <c r="A246" s="6" t="n"/>
      <c r="F246" s="12" t="n"/>
      <c r="J246" s="12" t="n"/>
      <c r="K246" s="7" t="n"/>
      <c r="L246" s="7" t="n"/>
      <c r="M246" s="7" t="n"/>
    </row>
    <row r="247">
      <c r="A247" s="6" t="n"/>
      <c r="F247" s="12" t="n"/>
      <c r="J247" s="12" t="n"/>
      <c r="K247" s="7" t="n"/>
      <c r="L247" s="7" t="n"/>
      <c r="M247" s="7" t="n"/>
    </row>
    <row r="248">
      <c r="A248" s="6" t="n"/>
      <c r="F248" s="12" t="n"/>
      <c r="J248" s="12" t="n"/>
      <c r="K248" s="7" t="n"/>
      <c r="L248" s="7" t="n"/>
      <c r="M248" s="7" t="n"/>
    </row>
    <row r="249">
      <c r="A249" s="6" t="n"/>
      <c r="F249" s="12" t="n"/>
      <c r="J249" s="12" t="n"/>
      <c r="K249" s="7" t="n"/>
      <c r="L249" s="7" t="n"/>
      <c r="M249" s="7" t="n"/>
    </row>
    <row r="250">
      <c r="A250" s="6" t="n"/>
      <c r="F250" s="12" t="n"/>
      <c r="J250" s="12" t="n"/>
      <c r="K250" s="7" t="n"/>
      <c r="L250" s="7" t="n"/>
      <c r="M250" s="7" t="n"/>
    </row>
    <row r="251">
      <c r="A251" s="6" t="n"/>
      <c r="F251" s="12" t="n"/>
      <c r="J251" s="12" t="n"/>
      <c r="K251" s="7" t="n"/>
      <c r="L251" s="7" t="n"/>
      <c r="M251" s="7" t="n"/>
    </row>
    <row r="252">
      <c r="A252" s="6" t="n"/>
      <c r="F252" s="12" t="n"/>
      <c r="J252" s="12" t="n"/>
      <c r="K252" s="7" t="n"/>
      <c r="L252" s="7" t="n"/>
      <c r="M252" s="7" t="n"/>
    </row>
    <row r="253">
      <c r="A253" s="6" t="n"/>
      <c r="F253" s="12" t="n"/>
      <c r="J253" s="12" t="n"/>
      <c r="K253" s="7" t="n"/>
      <c r="L253" s="7" t="n"/>
      <c r="M253" s="7" t="n"/>
    </row>
    <row r="254">
      <c r="A254" s="6" t="n"/>
      <c r="F254" s="12" t="n"/>
      <c r="J254" s="12" t="n"/>
      <c r="K254" s="7" t="n"/>
      <c r="L254" s="7" t="n"/>
      <c r="M254" s="7" t="n"/>
    </row>
    <row r="255">
      <c r="A255" s="6" t="n"/>
      <c r="F255" s="12" t="n"/>
      <c r="J255" s="12" t="n"/>
      <c r="K255" s="7" t="n"/>
      <c r="L255" s="7" t="n"/>
      <c r="M255" s="7" t="n"/>
    </row>
    <row r="256">
      <c r="A256" s="6" t="n"/>
      <c r="F256" s="12" t="n"/>
      <c r="J256" s="12" t="n"/>
      <c r="K256" s="7" t="n"/>
      <c r="L256" s="7" t="n"/>
      <c r="M256" s="7" t="n"/>
    </row>
    <row r="257">
      <c r="A257" s="6" t="n"/>
      <c r="F257" s="12" t="n"/>
      <c r="J257" s="12" t="n"/>
      <c r="K257" s="7" t="n"/>
      <c r="L257" s="7" t="n"/>
      <c r="M257" s="7" t="n"/>
    </row>
    <row r="258">
      <c r="A258" s="6" t="n"/>
      <c r="F258" s="12" t="n"/>
      <c r="J258" s="12" t="n"/>
      <c r="K258" s="7" t="n"/>
      <c r="L258" s="7" t="n"/>
      <c r="M258" s="7" t="n"/>
    </row>
    <row r="259">
      <c r="A259" s="6" t="n"/>
      <c r="F259" s="12" t="n"/>
      <c r="J259" s="12" t="n"/>
      <c r="K259" s="7" t="n"/>
      <c r="L259" s="7" t="n"/>
      <c r="M259" s="7" t="n"/>
    </row>
    <row r="260">
      <c r="A260" s="6" t="n"/>
      <c r="F260" s="12" t="n"/>
      <c r="J260" s="12" t="n"/>
      <c r="K260" s="7" t="n"/>
      <c r="L260" s="7" t="n"/>
      <c r="M260" s="7" t="n"/>
    </row>
    <row r="261">
      <c r="A261" s="6" t="n"/>
      <c r="F261" s="12" t="n"/>
      <c r="J261" s="12" t="n"/>
      <c r="K261" s="7" t="n"/>
      <c r="L261" s="7" t="n"/>
      <c r="M261" s="7" t="n"/>
    </row>
    <row r="262">
      <c r="A262" s="6" t="n"/>
      <c r="F262" s="12" t="n"/>
      <c r="J262" s="12" t="n"/>
      <c r="K262" s="7" t="n"/>
      <c r="L262" s="7" t="n"/>
      <c r="M262" s="7" t="n"/>
    </row>
    <row r="263">
      <c r="A263" s="6" t="n"/>
      <c r="F263" s="12" t="n"/>
      <c r="J263" s="12" t="n"/>
      <c r="K263" s="7" t="n"/>
      <c r="L263" s="7" t="n"/>
      <c r="M263" s="7" t="n"/>
    </row>
    <row r="264">
      <c r="A264" s="6" t="n"/>
      <c r="F264" s="12" t="n"/>
      <c r="J264" s="12" t="n"/>
      <c r="K264" s="7" t="n"/>
      <c r="L264" s="7" t="n"/>
      <c r="M264" s="7" t="n"/>
    </row>
    <row r="265">
      <c r="A265" s="6" t="n"/>
      <c r="F265" s="12" t="n"/>
      <c r="J265" s="12" t="n"/>
      <c r="K265" s="7" t="n"/>
      <c r="L265" s="7" t="n"/>
      <c r="M265" s="7" t="n"/>
    </row>
    <row r="266">
      <c r="A266" s="6" t="n"/>
      <c r="F266" s="12" t="n"/>
      <c r="J266" s="12" t="n"/>
      <c r="K266" s="7" t="n"/>
      <c r="L266" s="7" t="n"/>
      <c r="M266" s="7" t="n"/>
    </row>
    <row r="267">
      <c r="A267" s="6" t="n"/>
      <c r="F267" s="12" t="n"/>
      <c r="J267" s="12" t="n"/>
      <c r="K267" s="7" t="n"/>
      <c r="L267" s="7" t="n"/>
      <c r="M267" s="7" t="n"/>
    </row>
    <row r="268">
      <c r="A268" s="6" t="n"/>
      <c r="F268" s="12" t="n"/>
      <c r="J268" s="12" t="n"/>
      <c r="K268" s="7" t="n"/>
      <c r="L268" s="7" t="n"/>
      <c r="M268" s="7" t="n"/>
    </row>
    <row r="269">
      <c r="A269" s="6" t="n"/>
      <c r="F269" s="12" t="n"/>
      <c r="J269" s="12" t="n"/>
      <c r="K269" s="7" t="n"/>
      <c r="L269" s="7" t="n"/>
      <c r="M269" s="7" t="n"/>
    </row>
    <row r="270">
      <c r="A270" s="6" t="n"/>
      <c r="F270" s="12" t="n"/>
      <c r="J270" s="12" t="n"/>
      <c r="K270" s="7" t="n"/>
      <c r="L270" s="7" t="n"/>
      <c r="M270" s="7" t="n"/>
    </row>
    <row r="271">
      <c r="A271" s="6" t="n"/>
      <c r="F271" s="12" t="n"/>
      <c r="J271" s="12" t="n"/>
      <c r="K271" s="7" t="n"/>
      <c r="L271" s="7" t="n"/>
      <c r="M271" s="7" t="n"/>
    </row>
    <row r="272">
      <c r="A272" s="6" t="n"/>
      <c r="F272" s="12" t="n"/>
      <c r="J272" s="12" t="n"/>
      <c r="K272" s="7" t="n"/>
      <c r="L272" s="7" t="n"/>
      <c r="M272" s="7" t="n"/>
    </row>
    <row r="273">
      <c r="A273" s="6" t="n"/>
      <c r="F273" s="12" t="n"/>
      <c r="J273" s="12" t="n"/>
      <c r="K273" s="7" t="n"/>
      <c r="L273" s="7" t="n"/>
      <c r="M273" s="7" t="n"/>
    </row>
    <row r="274">
      <c r="A274" s="6" t="n"/>
      <c r="F274" s="12" t="n"/>
      <c r="J274" s="12" t="n"/>
      <c r="K274" s="7" t="n"/>
      <c r="L274" s="7" t="n"/>
      <c r="M274" s="7" t="n"/>
    </row>
    <row r="275">
      <c r="A275" s="6" t="n"/>
      <c r="F275" s="12" t="n"/>
      <c r="J275" s="12" t="n"/>
      <c r="K275" s="7" t="n"/>
      <c r="L275" s="7" t="n"/>
      <c r="M275" s="7" t="n"/>
    </row>
    <row r="276">
      <c r="A276" s="6" t="n"/>
      <c r="F276" s="12" t="n"/>
      <c r="J276" s="12" t="n"/>
      <c r="K276" s="7" t="n"/>
      <c r="L276" s="7" t="n"/>
      <c r="M276" s="7" t="n"/>
    </row>
    <row r="277">
      <c r="A277" s="6" t="n"/>
      <c r="F277" s="12" t="n"/>
      <c r="J277" s="12" t="n"/>
      <c r="K277" s="7" t="n"/>
      <c r="L277" s="7" t="n"/>
      <c r="M277" s="7" t="n"/>
    </row>
    <row r="278">
      <c r="A278" s="6" t="n"/>
      <c r="F278" s="12" t="n"/>
      <c r="J278" s="12" t="n"/>
      <c r="K278" s="7" t="n"/>
      <c r="L278" s="7" t="n"/>
      <c r="M278" s="7" t="n"/>
    </row>
    <row r="279">
      <c r="A279" s="6" t="n"/>
      <c r="F279" s="12" t="n"/>
      <c r="J279" s="12" t="n"/>
      <c r="K279" s="7" t="n"/>
      <c r="L279" s="7" t="n"/>
      <c r="M279" s="7" t="n"/>
    </row>
    <row r="280">
      <c r="A280" s="6" t="n"/>
      <c r="F280" s="12" t="n"/>
      <c r="J280" s="12" t="n"/>
      <c r="K280" s="7" t="n"/>
      <c r="L280" s="7" t="n"/>
      <c r="M280" s="7" t="n"/>
    </row>
    <row r="281">
      <c r="A281" s="6" t="n"/>
      <c r="F281" s="12" t="n"/>
      <c r="J281" s="12" t="n"/>
      <c r="K281" s="7" t="n"/>
      <c r="L281" s="7" t="n"/>
      <c r="M281" s="7" t="n"/>
    </row>
    <row r="282">
      <c r="A282" s="6" t="n"/>
      <c r="F282" s="12" t="n"/>
      <c r="J282" s="12" t="n"/>
      <c r="K282" s="7" t="n"/>
      <c r="L282" s="7" t="n"/>
      <c r="M282" s="7" t="n"/>
    </row>
    <row r="283">
      <c r="A283" s="6" t="n"/>
      <c r="F283" s="12" t="n"/>
      <c r="J283" s="12" t="n"/>
      <c r="K283" s="7" t="n"/>
      <c r="L283" s="7" t="n"/>
      <c r="M283" s="7" t="n"/>
    </row>
    <row r="284">
      <c r="A284" s="6" t="n"/>
      <c r="F284" s="12" t="n"/>
      <c r="J284" s="12" t="n"/>
      <c r="K284" s="7" t="n"/>
      <c r="L284" s="7" t="n"/>
      <c r="M284" s="7" t="n"/>
    </row>
    <row r="285">
      <c r="A285" s="6" t="n"/>
      <c r="F285" s="12" t="n"/>
      <c r="J285" s="12" t="n"/>
      <c r="K285" s="7" t="n"/>
      <c r="L285" s="7" t="n"/>
      <c r="M285" s="7" t="n"/>
    </row>
    <row r="286">
      <c r="A286" s="6" t="n"/>
      <c r="F286" s="12" t="n"/>
      <c r="J286" s="12" t="n"/>
      <c r="K286" s="7" t="n"/>
      <c r="L286" s="7" t="n"/>
      <c r="M286" s="7" t="n"/>
    </row>
    <row r="287">
      <c r="A287" s="6" t="n"/>
      <c r="F287" s="12" t="n"/>
      <c r="J287" s="12" t="n"/>
      <c r="K287" s="7" t="n"/>
      <c r="L287" s="7" t="n"/>
      <c r="M287" s="7" t="n"/>
    </row>
    <row r="288">
      <c r="A288" s="6" t="n"/>
      <c r="F288" s="12" t="n"/>
      <c r="J288" s="12" t="n"/>
      <c r="K288" s="7" t="n"/>
      <c r="L288" s="7" t="n"/>
      <c r="M288" s="7" t="n"/>
    </row>
    <row r="289">
      <c r="A289" s="6" t="n"/>
      <c r="F289" s="12" t="n"/>
      <c r="J289" s="12" t="n"/>
      <c r="K289" s="7" t="n"/>
      <c r="L289" s="7" t="n"/>
      <c r="M289" s="7" t="n"/>
    </row>
    <row r="290">
      <c r="A290" s="6" t="n"/>
      <c r="F290" s="12" t="n"/>
      <c r="J290" s="12" t="n"/>
      <c r="K290" s="7" t="n"/>
      <c r="L290" s="7" t="n"/>
      <c r="M290" s="7" t="n"/>
    </row>
    <row r="291">
      <c r="A291" s="6" t="n"/>
      <c r="F291" s="12" t="n"/>
      <c r="J291" s="12" t="n"/>
      <c r="K291" s="7" t="n"/>
      <c r="L291" s="7" t="n"/>
      <c r="M291" s="7" t="n"/>
    </row>
    <row r="292">
      <c r="A292" s="6" t="n"/>
      <c r="F292" s="12" t="n"/>
      <c r="J292" s="12" t="n"/>
      <c r="K292" s="7" t="n"/>
      <c r="L292" s="7" t="n"/>
      <c r="M292" s="7" t="n"/>
    </row>
    <row r="293">
      <c r="A293" s="6" t="n"/>
      <c r="F293" s="12" t="n"/>
      <c r="J293" s="12" t="n"/>
      <c r="K293" s="7" t="n"/>
      <c r="L293" s="7" t="n"/>
      <c r="M293" s="7" t="n"/>
    </row>
    <row r="294">
      <c r="A294" s="6" t="n"/>
      <c r="F294" s="12" t="n"/>
      <c r="J294" s="12" t="n"/>
      <c r="K294" s="7" t="n"/>
      <c r="L294" s="7" t="n"/>
      <c r="M294" s="7" t="n"/>
    </row>
    <row r="295">
      <c r="A295" s="6" t="n"/>
      <c r="F295" s="12" t="n"/>
      <c r="J295" s="12" t="n"/>
      <c r="K295" s="7" t="n"/>
      <c r="L295" s="7" t="n"/>
      <c r="M295" s="7" t="n"/>
    </row>
    <row r="296">
      <c r="A296" s="6" t="n"/>
      <c r="F296" s="12" t="n"/>
      <c r="J296" s="12" t="n"/>
      <c r="K296" s="7" t="n"/>
      <c r="L296" s="7" t="n"/>
      <c r="M296" s="7" t="n"/>
    </row>
    <row r="297">
      <c r="A297" s="6" t="n"/>
      <c r="F297" s="12" t="n"/>
      <c r="J297" s="12" t="n"/>
      <c r="K297" s="7" t="n"/>
      <c r="L297" s="7" t="n"/>
      <c r="M297" s="7" t="n"/>
    </row>
    <row r="298">
      <c r="A298" s="6" t="n"/>
      <c r="F298" s="12" t="n"/>
      <c r="J298" s="12" t="n"/>
      <c r="K298" s="7" t="n"/>
      <c r="L298" s="7" t="n"/>
      <c r="M298" s="7" t="n"/>
    </row>
    <row r="299">
      <c r="A299" s="6" t="n"/>
      <c r="F299" s="12" t="n"/>
      <c r="J299" s="12" t="n"/>
      <c r="K299" s="7" t="n"/>
      <c r="L299" s="7" t="n"/>
      <c r="M299" s="7" t="n"/>
    </row>
    <row r="300">
      <c r="A300" s="6" t="n"/>
      <c r="F300" s="12" t="n"/>
      <c r="J300" s="12" t="n"/>
      <c r="K300" s="7" t="n"/>
      <c r="L300" s="7" t="n"/>
      <c r="M300" s="7" t="n"/>
    </row>
    <row r="301">
      <c r="A301" s="6" t="n"/>
      <c r="F301" s="12" t="n"/>
      <c r="J301" s="12" t="n"/>
      <c r="K301" s="7" t="n"/>
      <c r="L301" s="7" t="n"/>
      <c r="M301" s="7"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82"/>
  <sheetViews>
    <sheetView workbookViewId="0">
      <selection activeCell="A1" sqref="A1"/>
    </sheetView>
  </sheetViews>
  <sheetFormatPr baseColWidth="8" defaultRowHeight="15"/>
  <cols>
    <col width="11" customWidth="1" min="1" max="1"/>
    <col width="9" customWidth="1" min="2" max="2"/>
    <col width="9" customWidth="1" min="3" max="3"/>
    <col width="15" customWidth="1" min="4" max="4"/>
    <col width="30" customWidth="1" min="5" max="5"/>
    <col width="9" customWidth="1" min="6" max="6"/>
    <col width="9" customWidth="1" min="7" max="7"/>
    <col width="15" customWidth="1" min="8" max="8"/>
    <col width="30" customWidth="1" min="9" max="9"/>
    <col width="10" customWidth="1" min="10" max="10"/>
    <col width="26" customWidth="1" min="11" max="11"/>
  </cols>
  <sheetData>
    <row r="1">
      <c r="A1" s="1" t="inlineStr">
        <is>
          <t>PLAN DE ORGANIZACIÓN DEL TIEMPO — semana a semana</t>
        </is>
      </c>
    </row>
    <row r="2" ht="48" customHeight="1">
      <c r="A2" s="7" t="inlineStr">
        <is>
          <t>Se llena el lunes antes de las 8:30 a. m. y se comparte con coordinación: es el registro de la jornada (calidad y seguridad en el trabajo). 42 horas a la semana, en franjas concretas con lugar. Si la semana cambia, se corrige aquí el mismo día. Contacto con clientes solo de lunes a viernes de 7:00 a. m. a 7:00 p. m. y sábados de 8:00 a. m. a 3:00 p. m.; nunca domingos ni festivos.</t>
        </is>
      </c>
    </row>
    <row r="4">
      <c r="A4" s="2" t="inlineStr">
        <is>
          <t>Semana 1 · del</t>
        </is>
      </c>
      <c r="B4" s="3" t="n"/>
      <c r="C4" s="4" t="inlineStr">
        <is>
          <t>Enviado a coordinación:</t>
        </is>
      </c>
      <c r="D4" s="13" t="n"/>
    </row>
    <row r="5" ht="32" customHeight="1">
      <c r="A5" s="9" t="inlineStr">
        <is>
          <t>Día</t>
        </is>
      </c>
      <c r="B5" s="9" t="inlineStr">
        <is>
          <t>Mañana de</t>
        </is>
      </c>
      <c r="C5" s="9" t="inlineStr">
        <is>
          <t>a</t>
        </is>
      </c>
      <c r="D5" s="9" t="inlineStr">
        <is>
          <t>Dónde</t>
        </is>
      </c>
      <c r="E5" s="9" t="inlineStr">
        <is>
          <t>Qué (empresas, reuniones, citas, oficina)</t>
        </is>
      </c>
      <c r="F5" s="9" t="inlineStr">
        <is>
          <t>Tarde de</t>
        </is>
      </c>
      <c r="G5" s="9" t="inlineStr">
        <is>
          <t>a</t>
        </is>
      </c>
      <c r="H5" s="9" t="inlineStr">
        <is>
          <t>Dónde</t>
        </is>
      </c>
      <c r="I5" s="9" t="inlineStr">
        <is>
          <t>Qué</t>
        </is>
      </c>
      <c r="J5" s="9" t="inlineStr">
        <is>
          <t>Horas</t>
        </is>
      </c>
      <c r="K5" s="9" t="inlineStr">
        <is>
          <t>Observaciones / cambios</t>
        </is>
      </c>
    </row>
    <row r="6">
      <c r="A6" s="14" t="inlineStr">
        <is>
          <t>Lunes</t>
        </is>
      </c>
      <c r="B6" s="15" t="n"/>
      <c r="C6" s="15" t="n"/>
      <c r="D6" s="10" t="n"/>
      <c r="E6" s="16" t="n"/>
      <c r="F6" s="15" t="n"/>
      <c r="G6" s="15" t="n"/>
      <c r="H6" s="10" t="n"/>
      <c r="I6" s="16" t="n"/>
      <c r="J6" s="17">
        <f>(IF(AND(B6&lt;&gt;"",C6&lt;&gt;""),C6-B6,0)+IF(AND(F6&lt;&gt;"",G6&lt;&gt;""),G6-F6,0))*24</f>
        <v/>
      </c>
      <c r="K6" s="16" t="n"/>
    </row>
    <row r="7">
      <c r="A7" s="14" t="inlineStr">
        <is>
          <t>Martes</t>
        </is>
      </c>
      <c r="B7" s="15" t="n"/>
      <c r="C7" s="15" t="n"/>
      <c r="D7" s="10" t="n"/>
      <c r="E7" s="16" t="n"/>
      <c r="F7" s="15" t="n"/>
      <c r="G7" s="15" t="n"/>
      <c r="H7" s="10" t="n"/>
      <c r="I7" s="16" t="n"/>
      <c r="J7" s="17">
        <f>(IF(AND(B7&lt;&gt;"",C7&lt;&gt;""),C7-B7,0)+IF(AND(F7&lt;&gt;"",G7&lt;&gt;""),G7-F7,0))*24</f>
        <v/>
      </c>
      <c r="K7" s="16" t="n"/>
    </row>
    <row r="8">
      <c r="A8" s="14" t="inlineStr">
        <is>
          <t>Miércoles</t>
        </is>
      </c>
      <c r="B8" s="15" t="n"/>
      <c r="C8" s="15" t="n"/>
      <c r="D8" s="10" t="n"/>
      <c r="E8" s="16" t="n"/>
      <c r="F8" s="15" t="n"/>
      <c r="G8" s="15" t="n"/>
      <c r="H8" s="10" t="n"/>
      <c r="I8" s="16" t="n"/>
      <c r="J8" s="17">
        <f>(IF(AND(B8&lt;&gt;"",C8&lt;&gt;""),C8-B8,0)+IF(AND(F8&lt;&gt;"",G8&lt;&gt;""),G8-F8,0))*24</f>
        <v/>
      </c>
      <c r="K8" s="16" t="n"/>
    </row>
    <row r="9">
      <c r="A9" s="14" t="inlineStr">
        <is>
          <t>Jueves</t>
        </is>
      </c>
      <c r="B9" s="15" t="n"/>
      <c r="C9" s="15" t="n"/>
      <c r="D9" s="10" t="n"/>
      <c r="E9" s="16" t="n"/>
      <c r="F9" s="15" t="n"/>
      <c r="G9" s="15" t="n"/>
      <c r="H9" s="10" t="n"/>
      <c r="I9" s="16" t="n"/>
      <c r="J9" s="17">
        <f>(IF(AND(B9&lt;&gt;"",C9&lt;&gt;""),C9-B9,0)+IF(AND(F9&lt;&gt;"",G9&lt;&gt;""),G9-F9,0))*24</f>
        <v/>
      </c>
      <c r="K9" s="16" t="n"/>
    </row>
    <row r="10">
      <c r="A10" s="14" t="inlineStr">
        <is>
          <t>Viernes</t>
        </is>
      </c>
      <c r="B10" s="15" t="n"/>
      <c r="C10" s="15" t="n"/>
      <c r="D10" s="10" t="n"/>
      <c r="E10" s="16" t="n"/>
      <c r="F10" s="15" t="n"/>
      <c r="G10" s="15" t="n"/>
      <c r="H10" s="10" t="n"/>
      <c r="I10" s="16" t="n"/>
      <c r="J10" s="17">
        <f>(IF(AND(B10&lt;&gt;"",C10&lt;&gt;""),C10-B10,0)+IF(AND(F10&lt;&gt;"",G10&lt;&gt;""),G10-F10,0))*24</f>
        <v/>
      </c>
      <c r="K10" s="16" t="n"/>
    </row>
    <row r="11">
      <c r="A11" s="14" t="inlineStr">
        <is>
          <t>Sábado</t>
        </is>
      </c>
      <c r="B11" s="15" t="n"/>
      <c r="C11" s="15" t="n"/>
      <c r="D11" s="10" t="n"/>
      <c r="E11" s="16" t="n"/>
      <c r="F11" s="15" t="n"/>
      <c r="G11" s="15" t="n"/>
      <c r="H11" s="10" t="n"/>
      <c r="I11" s="16" t="n"/>
      <c r="J11" s="17">
        <f>(IF(AND(B11&lt;&gt;"",C11&lt;&gt;""),C11-B11,0)+IF(AND(F11&lt;&gt;"",G11&lt;&gt;""),G11-F11,0))*24</f>
        <v/>
      </c>
      <c r="K11" s="16" t="n"/>
    </row>
    <row r="12">
      <c r="I12" s="2" t="inlineStr">
        <is>
          <t>Total de la semana</t>
        </is>
      </c>
      <c r="J12" s="18">
        <f>SUM(J6:J11)</f>
        <v/>
      </c>
      <c r="K12" s="4">
        <f>IF(J12=0,"",IF(J12&lt;42,"Faltan "&amp;TEXT(42-J12,"0.0")&amp;" horas para las 42",IF(J12&gt;42,"Pasa de 42: ajustar","Cumple 42 horas")))</f>
        <v/>
      </c>
    </row>
    <row r="14">
      <c r="A14" s="2" t="inlineStr">
        <is>
          <t>Semana 2 · del</t>
        </is>
      </c>
      <c r="B14" s="3" t="n"/>
      <c r="C14" s="4" t="inlineStr">
        <is>
          <t>Enviado a coordinación:</t>
        </is>
      </c>
      <c r="D14" s="13" t="n"/>
    </row>
    <row r="15" ht="32" customHeight="1">
      <c r="A15" s="9" t="inlineStr">
        <is>
          <t>Día</t>
        </is>
      </c>
      <c r="B15" s="9" t="inlineStr">
        <is>
          <t>Mañana de</t>
        </is>
      </c>
      <c r="C15" s="9" t="inlineStr">
        <is>
          <t>a</t>
        </is>
      </c>
      <c r="D15" s="9" t="inlineStr">
        <is>
          <t>Dónde</t>
        </is>
      </c>
      <c r="E15" s="9" t="inlineStr">
        <is>
          <t>Qué (empresas, reuniones, citas, oficina)</t>
        </is>
      </c>
      <c r="F15" s="9" t="inlineStr">
        <is>
          <t>Tarde de</t>
        </is>
      </c>
      <c r="G15" s="9" t="inlineStr">
        <is>
          <t>a</t>
        </is>
      </c>
      <c r="H15" s="9" t="inlineStr">
        <is>
          <t>Dónde</t>
        </is>
      </c>
      <c r="I15" s="9" t="inlineStr">
        <is>
          <t>Qué</t>
        </is>
      </c>
      <c r="J15" s="9" t="inlineStr">
        <is>
          <t>Horas</t>
        </is>
      </c>
      <c r="K15" s="9" t="inlineStr">
        <is>
          <t>Observaciones / cambios</t>
        </is>
      </c>
    </row>
    <row r="16">
      <c r="A16" s="14" t="inlineStr">
        <is>
          <t>Lunes</t>
        </is>
      </c>
      <c r="B16" s="15" t="n"/>
      <c r="C16" s="15" t="n"/>
      <c r="D16" s="10" t="n"/>
      <c r="E16" s="16" t="n"/>
      <c r="F16" s="15" t="n"/>
      <c r="G16" s="15" t="n"/>
      <c r="H16" s="10" t="n"/>
      <c r="I16" s="16" t="n"/>
      <c r="J16" s="17">
        <f>(IF(AND(B16&lt;&gt;"",C16&lt;&gt;""),C16-B16,0)+IF(AND(F16&lt;&gt;"",G16&lt;&gt;""),G16-F16,0))*24</f>
        <v/>
      </c>
      <c r="K16" s="16" t="n"/>
    </row>
    <row r="17">
      <c r="A17" s="14" t="inlineStr">
        <is>
          <t>Martes</t>
        </is>
      </c>
      <c r="B17" s="15" t="n"/>
      <c r="C17" s="15" t="n"/>
      <c r="D17" s="10" t="n"/>
      <c r="E17" s="16" t="n"/>
      <c r="F17" s="15" t="n"/>
      <c r="G17" s="15" t="n"/>
      <c r="H17" s="10" t="n"/>
      <c r="I17" s="16" t="n"/>
      <c r="J17" s="17">
        <f>(IF(AND(B17&lt;&gt;"",C17&lt;&gt;""),C17-B17,0)+IF(AND(F17&lt;&gt;"",G17&lt;&gt;""),G17-F17,0))*24</f>
        <v/>
      </c>
      <c r="K17" s="16" t="n"/>
    </row>
    <row r="18">
      <c r="A18" s="14" t="inlineStr">
        <is>
          <t>Miércoles</t>
        </is>
      </c>
      <c r="B18" s="15" t="n"/>
      <c r="C18" s="15" t="n"/>
      <c r="D18" s="10" t="n"/>
      <c r="E18" s="16" t="n"/>
      <c r="F18" s="15" t="n"/>
      <c r="G18" s="15" t="n"/>
      <c r="H18" s="10" t="n"/>
      <c r="I18" s="16" t="n"/>
      <c r="J18" s="17">
        <f>(IF(AND(B18&lt;&gt;"",C18&lt;&gt;""),C18-B18,0)+IF(AND(F18&lt;&gt;"",G18&lt;&gt;""),G18-F18,0))*24</f>
        <v/>
      </c>
      <c r="K18" s="16" t="n"/>
    </row>
    <row r="19">
      <c r="A19" s="14" t="inlineStr">
        <is>
          <t>Jueves</t>
        </is>
      </c>
      <c r="B19" s="15" t="n"/>
      <c r="C19" s="15" t="n"/>
      <c r="D19" s="10" t="n"/>
      <c r="E19" s="16" t="n"/>
      <c r="F19" s="15" t="n"/>
      <c r="G19" s="15" t="n"/>
      <c r="H19" s="10" t="n"/>
      <c r="I19" s="16" t="n"/>
      <c r="J19" s="17">
        <f>(IF(AND(B19&lt;&gt;"",C19&lt;&gt;""),C19-B19,0)+IF(AND(F19&lt;&gt;"",G19&lt;&gt;""),G19-F19,0))*24</f>
        <v/>
      </c>
      <c r="K19" s="16" t="n"/>
    </row>
    <row r="20">
      <c r="A20" s="14" t="inlineStr">
        <is>
          <t>Viernes</t>
        </is>
      </c>
      <c r="B20" s="15" t="n"/>
      <c r="C20" s="15" t="n"/>
      <c r="D20" s="10" t="n"/>
      <c r="E20" s="16" t="n"/>
      <c r="F20" s="15" t="n"/>
      <c r="G20" s="15" t="n"/>
      <c r="H20" s="10" t="n"/>
      <c r="I20" s="16" t="n"/>
      <c r="J20" s="17">
        <f>(IF(AND(B20&lt;&gt;"",C20&lt;&gt;""),C20-B20,0)+IF(AND(F20&lt;&gt;"",G20&lt;&gt;""),G20-F20,0))*24</f>
        <v/>
      </c>
      <c r="K20" s="16" t="n"/>
    </row>
    <row r="21">
      <c r="A21" s="14" t="inlineStr">
        <is>
          <t>Sábado</t>
        </is>
      </c>
      <c r="B21" s="15" t="n"/>
      <c r="C21" s="15" t="n"/>
      <c r="D21" s="10" t="n"/>
      <c r="E21" s="16" t="n"/>
      <c r="F21" s="15" t="n"/>
      <c r="G21" s="15" t="n"/>
      <c r="H21" s="10" t="n"/>
      <c r="I21" s="16" t="n"/>
      <c r="J21" s="17">
        <f>(IF(AND(B21&lt;&gt;"",C21&lt;&gt;""),C21-B21,0)+IF(AND(F21&lt;&gt;"",G21&lt;&gt;""),G21-F21,0))*24</f>
        <v/>
      </c>
      <c r="K21" s="16" t="n"/>
    </row>
    <row r="22">
      <c r="I22" s="2" t="inlineStr">
        <is>
          <t>Total de la semana</t>
        </is>
      </c>
      <c r="J22" s="18">
        <f>SUM(J16:J21)</f>
        <v/>
      </c>
      <c r="K22" s="4">
        <f>IF(J22=0,"",IF(J22&lt;42,"Faltan "&amp;TEXT(42-J22,"0.0")&amp;" horas para las 42",IF(J22&gt;42,"Pasa de 42: ajustar","Cumple 42 horas")))</f>
        <v/>
      </c>
    </row>
    <row r="24">
      <c r="A24" s="2" t="inlineStr">
        <is>
          <t>Semana 3 · del</t>
        </is>
      </c>
      <c r="B24" s="3" t="n"/>
      <c r="C24" s="4" t="inlineStr">
        <is>
          <t>Enviado a coordinación:</t>
        </is>
      </c>
      <c r="D24" s="13" t="n"/>
    </row>
    <row r="25" ht="32" customHeight="1">
      <c r="A25" s="9" t="inlineStr">
        <is>
          <t>Día</t>
        </is>
      </c>
      <c r="B25" s="9" t="inlineStr">
        <is>
          <t>Mañana de</t>
        </is>
      </c>
      <c r="C25" s="9" t="inlineStr">
        <is>
          <t>a</t>
        </is>
      </c>
      <c r="D25" s="9" t="inlineStr">
        <is>
          <t>Dónde</t>
        </is>
      </c>
      <c r="E25" s="9" t="inlineStr">
        <is>
          <t>Qué (empresas, reuniones, citas, oficina)</t>
        </is>
      </c>
      <c r="F25" s="9" t="inlineStr">
        <is>
          <t>Tarde de</t>
        </is>
      </c>
      <c r="G25" s="9" t="inlineStr">
        <is>
          <t>a</t>
        </is>
      </c>
      <c r="H25" s="9" t="inlineStr">
        <is>
          <t>Dónde</t>
        </is>
      </c>
      <c r="I25" s="9" t="inlineStr">
        <is>
          <t>Qué</t>
        </is>
      </c>
      <c r="J25" s="9" t="inlineStr">
        <is>
          <t>Horas</t>
        </is>
      </c>
      <c r="K25" s="9" t="inlineStr">
        <is>
          <t>Observaciones / cambios</t>
        </is>
      </c>
    </row>
    <row r="26">
      <c r="A26" s="14" t="inlineStr">
        <is>
          <t>Lunes</t>
        </is>
      </c>
      <c r="B26" s="15" t="n"/>
      <c r="C26" s="15" t="n"/>
      <c r="D26" s="10" t="n"/>
      <c r="E26" s="16" t="n"/>
      <c r="F26" s="15" t="n"/>
      <c r="G26" s="15" t="n"/>
      <c r="H26" s="10" t="n"/>
      <c r="I26" s="16" t="n"/>
      <c r="J26" s="17">
        <f>(IF(AND(B26&lt;&gt;"",C26&lt;&gt;""),C26-B26,0)+IF(AND(F26&lt;&gt;"",G26&lt;&gt;""),G26-F26,0))*24</f>
        <v/>
      </c>
      <c r="K26" s="16" t="n"/>
    </row>
    <row r="27">
      <c r="A27" s="14" t="inlineStr">
        <is>
          <t>Martes</t>
        </is>
      </c>
      <c r="B27" s="15" t="n"/>
      <c r="C27" s="15" t="n"/>
      <c r="D27" s="10" t="n"/>
      <c r="E27" s="16" t="n"/>
      <c r="F27" s="15" t="n"/>
      <c r="G27" s="15" t="n"/>
      <c r="H27" s="10" t="n"/>
      <c r="I27" s="16" t="n"/>
      <c r="J27" s="17">
        <f>(IF(AND(B27&lt;&gt;"",C27&lt;&gt;""),C27-B27,0)+IF(AND(F27&lt;&gt;"",G27&lt;&gt;""),G27-F27,0))*24</f>
        <v/>
      </c>
      <c r="K27" s="16" t="n"/>
    </row>
    <row r="28">
      <c r="A28" s="14" t="inlineStr">
        <is>
          <t>Miércoles</t>
        </is>
      </c>
      <c r="B28" s="15" t="n"/>
      <c r="C28" s="15" t="n"/>
      <c r="D28" s="10" t="n"/>
      <c r="E28" s="16" t="n"/>
      <c r="F28" s="15" t="n"/>
      <c r="G28" s="15" t="n"/>
      <c r="H28" s="10" t="n"/>
      <c r="I28" s="16" t="n"/>
      <c r="J28" s="17">
        <f>(IF(AND(B28&lt;&gt;"",C28&lt;&gt;""),C28-B28,0)+IF(AND(F28&lt;&gt;"",G28&lt;&gt;""),G28-F28,0))*24</f>
        <v/>
      </c>
      <c r="K28" s="16" t="n"/>
    </row>
    <row r="29">
      <c r="A29" s="14" t="inlineStr">
        <is>
          <t>Jueves</t>
        </is>
      </c>
      <c r="B29" s="15" t="n"/>
      <c r="C29" s="15" t="n"/>
      <c r="D29" s="10" t="n"/>
      <c r="E29" s="16" t="n"/>
      <c r="F29" s="15" t="n"/>
      <c r="G29" s="15" t="n"/>
      <c r="H29" s="10" t="n"/>
      <c r="I29" s="16" t="n"/>
      <c r="J29" s="17">
        <f>(IF(AND(B29&lt;&gt;"",C29&lt;&gt;""),C29-B29,0)+IF(AND(F29&lt;&gt;"",G29&lt;&gt;""),G29-F29,0))*24</f>
        <v/>
      </c>
      <c r="K29" s="16" t="n"/>
    </row>
    <row r="30">
      <c r="A30" s="14" t="inlineStr">
        <is>
          <t>Viernes</t>
        </is>
      </c>
      <c r="B30" s="15" t="n"/>
      <c r="C30" s="15" t="n"/>
      <c r="D30" s="10" t="n"/>
      <c r="E30" s="16" t="n"/>
      <c r="F30" s="15" t="n"/>
      <c r="G30" s="15" t="n"/>
      <c r="H30" s="10" t="n"/>
      <c r="I30" s="16" t="n"/>
      <c r="J30" s="17">
        <f>(IF(AND(B30&lt;&gt;"",C30&lt;&gt;""),C30-B30,0)+IF(AND(F30&lt;&gt;"",G30&lt;&gt;""),G30-F30,0))*24</f>
        <v/>
      </c>
      <c r="K30" s="16" t="n"/>
    </row>
    <row r="31">
      <c r="A31" s="14" t="inlineStr">
        <is>
          <t>Sábado</t>
        </is>
      </c>
      <c r="B31" s="15" t="n"/>
      <c r="C31" s="15" t="n"/>
      <c r="D31" s="10" t="n"/>
      <c r="E31" s="16" t="n"/>
      <c r="F31" s="15" t="n"/>
      <c r="G31" s="15" t="n"/>
      <c r="H31" s="10" t="n"/>
      <c r="I31" s="16" t="n"/>
      <c r="J31" s="17">
        <f>(IF(AND(B31&lt;&gt;"",C31&lt;&gt;""),C31-B31,0)+IF(AND(F31&lt;&gt;"",G31&lt;&gt;""),G31-F31,0))*24</f>
        <v/>
      </c>
      <c r="K31" s="16" t="n"/>
    </row>
    <row r="32">
      <c r="I32" s="2" t="inlineStr">
        <is>
          <t>Total de la semana</t>
        </is>
      </c>
      <c r="J32" s="18">
        <f>SUM(J26:J31)</f>
        <v/>
      </c>
      <c r="K32" s="4">
        <f>IF(J32=0,"",IF(J32&lt;42,"Faltan "&amp;TEXT(42-J32,"0.0")&amp;" horas para las 42",IF(J32&gt;42,"Pasa de 42: ajustar","Cumple 42 horas")))</f>
        <v/>
      </c>
    </row>
    <row r="34">
      <c r="A34" s="2" t="inlineStr">
        <is>
          <t>Semana 4 · del</t>
        </is>
      </c>
      <c r="B34" s="3" t="n"/>
      <c r="C34" s="4" t="inlineStr">
        <is>
          <t>Enviado a coordinación:</t>
        </is>
      </c>
      <c r="D34" s="13" t="n"/>
    </row>
    <row r="35" ht="32" customHeight="1">
      <c r="A35" s="9" t="inlineStr">
        <is>
          <t>Día</t>
        </is>
      </c>
      <c r="B35" s="9" t="inlineStr">
        <is>
          <t>Mañana de</t>
        </is>
      </c>
      <c r="C35" s="9" t="inlineStr">
        <is>
          <t>a</t>
        </is>
      </c>
      <c r="D35" s="9" t="inlineStr">
        <is>
          <t>Dónde</t>
        </is>
      </c>
      <c r="E35" s="9" t="inlineStr">
        <is>
          <t>Qué (empresas, reuniones, citas, oficina)</t>
        </is>
      </c>
      <c r="F35" s="9" t="inlineStr">
        <is>
          <t>Tarde de</t>
        </is>
      </c>
      <c r="G35" s="9" t="inlineStr">
        <is>
          <t>a</t>
        </is>
      </c>
      <c r="H35" s="9" t="inlineStr">
        <is>
          <t>Dónde</t>
        </is>
      </c>
      <c r="I35" s="9" t="inlineStr">
        <is>
          <t>Qué</t>
        </is>
      </c>
      <c r="J35" s="9" t="inlineStr">
        <is>
          <t>Horas</t>
        </is>
      </c>
      <c r="K35" s="9" t="inlineStr">
        <is>
          <t>Observaciones / cambios</t>
        </is>
      </c>
    </row>
    <row r="36">
      <c r="A36" s="14" t="inlineStr">
        <is>
          <t>Lunes</t>
        </is>
      </c>
      <c r="B36" s="15" t="n"/>
      <c r="C36" s="15" t="n"/>
      <c r="D36" s="10" t="n"/>
      <c r="E36" s="16" t="n"/>
      <c r="F36" s="15" t="n"/>
      <c r="G36" s="15" t="n"/>
      <c r="H36" s="10" t="n"/>
      <c r="I36" s="16" t="n"/>
      <c r="J36" s="17">
        <f>(IF(AND(B36&lt;&gt;"",C36&lt;&gt;""),C36-B36,0)+IF(AND(F36&lt;&gt;"",G36&lt;&gt;""),G36-F36,0))*24</f>
        <v/>
      </c>
      <c r="K36" s="16" t="n"/>
    </row>
    <row r="37">
      <c r="A37" s="14" t="inlineStr">
        <is>
          <t>Martes</t>
        </is>
      </c>
      <c r="B37" s="15" t="n"/>
      <c r="C37" s="15" t="n"/>
      <c r="D37" s="10" t="n"/>
      <c r="E37" s="16" t="n"/>
      <c r="F37" s="15" t="n"/>
      <c r="G37" s="15" t="n"/>
      <c r="H37" s="10" t="n"/>
      <c r="I37" s="16" t="n"/>
      <c r="J37" s="17">
        <f>(IF(AND(B37&lt;&gt;"",C37&lt;&gt;""),C37-B37,0)+IF(AND(F37&lt;&gt;"",G37&lt;&gt;""),G37-F37,0))*24</f>
        <v/>
      </c>
      <c r="K37" s="16" t="n"/>
    </row>
    <row r="38">
      <c r="A38" s="14" t="inlineStr">
        <is>
          <t>Miércoles</t>
        </is>
      </c>
      <c r="B38" s="15" t="n"/>
      <c r="C38" s="15" t="n"/>
      <c r="D38" s="10" t="n"/>
      <c r="E38" s="16" t="n"/>
      <c r="F38" s="15" t="n"/>
      <c r="G38" s="15" t="n"/>
      <c r="H38" s="10" t="n"/>
      <c r="I38" s="16" t="n"/>
      <c r="J38" s="17">
        <f>(IF(AND(B38&lt;&gt;"",C38&lt;&gt;""),C38-B38,0)+IF(AND(F38&lt;&gt;"",G38&lt;&gt;""),G38-F38,0))*24</f>
        <v/>
      </c>
      <c r="K38" s="16" t="n"/>
    </row>
    <row r="39">
      <c r="A39" s="14" t="inlineStr">
        <is>
          <t>Jueves</t>
        </is>
      </c>
      <c r="B39" s="15" t="n"/>
      <c r="C39" s="15" t="n"/>
      <c r="D39" s="10" t="n"/>
      <c r="E39" s="16" t="n"/>
      <c r="F39" s="15" t="n"/>
      <c r="G39" s="15" t="n"/>
      <c r="H39" s="10" t="n"/>
      <c r="I39" s="16" t="n"/>
      <c r="J39" s="17">
        <f>(IF(AND(B39&lt;&gt;"",C39&lt;&gt;""),C39-B39,0)+IF(AND(F39&lt;&gt;"",G39&lt;&gt;""),G39-F39,0))*24</f>
        <v/>
      </c>
      <c r="K39" s="16" t="n"/>
    </row>
    <row r="40">
      <c r="A40" s="14" t="inlineStr">
        <is>
          <t>Viernes</t>
        </is>
      </c>
      <c r="B40" s="15" t="n"/>
      <c r="C40" s="15" t="n"/>
      <c r="D40" s="10" t="n"/>
      <c r="E40" s="16" t="n"/>
      <c r="F40" s="15" t="n"/>
      <c r="G40" s="15" t="n"/>
      <c r="H40" s="10" t="n"/>
      <c r="I40" s="16" t="n"/>
      <c r="J40" s="17">
        <f>(IF(AND(B40&lt;&gt;"",C40&lt;&gt;""),C40-B40,0)+IF(AND(F40&lt;&gt;"",G40&lt;&gt;""),G40-F40,0))*24</f>
        <v/>
      </c>
      <c r="K40" s="16" t="n"/>
    </row>
    <row r="41">
      <c r="A41" s="14" t="inlineStr">
        <is>
          <t>Sábado</t>
        </is>
      </c>
      <c r="B41" s="15" t="n"/>
      <c r="C41" s="15" t="n"/>
      <c r="D41" s="10" t="n"/>
      <c r="E41" s="16" t="n"/>
      <c r="F41" s="15" t="n"/>
      <c r="G41" s="15" t="n"/>
      <c r="H41" s="10" t="n"/>
      <c r="I41" s="16" t="n"/>
      <c r="J41" s="17">
        <f>(IF(AND(B41&lt;&gt;"",C41&lt;&gt;""),C41-B41,0)+IF(AND(F41&lt;&gt;"",G41&lt;&gt;""),G41-F41,0))*24</f>
        <v/>
      </c>
      <c r="K41" s="16" t="n"/>
    </row>
    <row r="42">
      <c r="I42" s="2" t="inlineStr">
        <is>
          <t>Total de la semana</t>
        </is>
      </c>
      <c r="J42" s="18">
        <f>SUM(J36:J41)</f>
        <v/>
      </c>
      <c r="K42" s="4">
        <f>IF(J42=0,"",IF(J42&lt;42,"Faltan "&amp;TEXT(42-J42,"0.0")&amp;" horas para las 42",IF(J42&gt;42,"Pasa de 42: ajustar","Cumple 42 horas")))</f>
        <v/>
      </c>
    </row>
    <row r="44">
      <c r="A44" s="2" t="inlineStr">
        <is>
          <t>Semana 5 · del</t>
        </is>
      </c>
      <c r="B44" s="3" t="n"/>
      <c r="C44" s="4" t="inlineStr">
        <is>
          <t>Enviado a coordinación:</t>
        </is>
      </c>
      <c r="D44" s="13" t="n"/>
    </row>
    <row r="45" ht="32" customHeight="1">
      <c r="A45" s="9" t="inlineStr">
        <is>
          <t>Día</t>
        </is>
      </c>
      <c r="B45" s="9" t="inlineStr">
        <is>
          <t>Mañana de</t>
        </is>
      </c>
      <c r="C45" s="9" t="inlineStr">
        <is>
          <t>a</t>
        </is>
      </c>
      <c r="D45" s="9" t="inlineStr">
        <is>
          <t>Dónde</t>
        </is>
      </c>
      <c r="E45" s="9" t="inlineStr">
        <is>
          <t>Qué (empresas, reuniones, citas, oficina)</t>
        </is>
      </c>
      <c r="F45" s="9" t="inlineStr">
        <is>
          <t>Tarde de</t>
        </is>
      </c>
      <c r="G45" s="9" t="inlineStr">
        <is>
          <t>a</t>
        </is>
      </c>
      <c r="H45" s="9" t="inlineStr">
        <is>
          <t>Dónde</t>
        </is>
      </c>
      <c r="I45" s="9" t="inlineStr">
        <is>
          <t>Qué</t>
        </is>
      </c>
      <c r="J45" s="9" t="inlineStr">
        <is>
          <t>Horas</t>
        </is>
      </c>
      <c r="K45" s="9" t="inlineStr">
        <is>
          <t>Observaciones / cambios</t>
        </is>
      </c>
    </row>
    <row r="46">
      <c r="A46" s="14" t="inlineStr">
        <is>
          <t>Lunes</t>
        </is>
      </c>
      <c r="B46" s="15" t="n"/>
      <c r="C46" s="15" t="n"/>
      <c r="D46" s="10" t="n"/>
      <c r="E46" s="16" t="n"/>
      <c r="F46" s="15" t="n"/>
      <c r="G46" s="15" t="n"/>
      <c r="H46" s="10" t="n"/>
      <c r="I46" s="16" t="n"/>
      <c r="J46" s="17">
        <f>(IF(AND(B46&lt;&gt;"",C46&lt;&gt;""),C46-B46,0)+IF(AND(F46&lt;&gt;"",G46&lt;&gt;""),G46-F46,0))*24</f>
        <v/>
      </c>
      <c r="K46" s="16" t="n"/>
    </row>
    <row r="47">
      <c r="A47" s="14" t="inlineStr">
        <is>
          <t>Martes</t>
        </is>
      </c>
      <c r="B47" s="15" t="n"/>
      <c r="C47" s="15" t="n"/>
      <c r="D47" s="10" t="n"/>
      <c r="E47" s="16" t="n"/>
      <c r="F47" s="15" t="n"/>
      <c r="G47" s="15" t="n"/>
      <c r="H47" s="10" t="n"/>
      <c r="I47" s="16" t="n"/>
      <c r="J47" s="17">
        <f>(IF(AND(B47&lt;&gt;"",C47&lt;&gt;""),C47-B47,0)+IF(AND(F47&lt;&gt;"",G47&lt;&gt;""),G47-F47,0))*24</f>
        <v/>
      </c>
      <c r="K47" s="16" t="n"/>
    </row>
    <row r="48">
      <c r="A48" s="14" t="inlineStr">
        <is>
          <t>Miércoles</t>
        </is>
      </c>
      <c r="B48" s="15" t="n"/>
      <c r="C48" s="15" t="n"/>
      <c r="D48" s="10" t="n"/>
      <c r="E48" s="16" t="n"/>
      <c r="F48" s="15" t="n"/>
      <c r="G48" s="15" t="n"/>
      <c r="H48" s="10" t="n"/>
      <c r="I48" s="16" t="n"/>
      <c r="J48" s="17">
        <f>(IF(AND(B48&lt;&gt;"",C48&lt;&gt;""),C48-B48,0)+IF(AND(F48&lt;&gt;"",G48&lt;&gt;""),G48-F48,0))*24</f>
        <v/>
      </c>
      <c r="K48" s="16" t="n"/>
    </row>
    <row r="49">
      <c r="A49" s="14" t="inlineStr">
        <is>
          <t>Jueves</t>
        </is>
      </c>
      <c r="B49" s="15" t="n"/>
      <c r="C49" s="15" t="n"/>
      <c r="D49" s="10" t="n"/>
      <c r="E49" s="16" t="n"/>
      <c r="F49" s="15" t="n"/>
      <c r="G49" s="15" t="n"/>
      <c r="H49" s="10" t="n"/>
      <c r="I49" s="16" t="n"/>
      <c r="J49" s="17">
        <f>(IF(AND(B49&lt;&gt;"",C49&lt;&gt;""),C49-B49,0)+IF(AND(F49&lt;&gt;"",G49&lt;&gt;""),G49-F49,0))*24</f>
        <v/>
      </c>
      <c r="K49" s="16" t="n"/>
    </row>
    <row r="50">
      <c r="A50" s="14" t="inlineStr">
        <is>
          <t>Viernes</t>
        </is>
      </c>
      <c r="B50" s="15" t="n"/>
      <c r="C50" s="15" t="n"/>
      <c r="D50" s="10" t="n"/>
      <c r="E50" s="16" t="n"/>
      <c r="F50" s="15" t="n"/>
      <c r="G50" s="15" t="n"/>
      <c r="H50" s="10" t="n"/>
      <c r="I50" s="16" t="n"/>
      <c r="J50" s="17">
        <f>(IF(AND(B50&lt;&gt;"",C50&lt;&gt;""),C50-B50,0)+IF(AND(F50&lt;&gt;"",G50&lt;&gt;""),G50-F50,0))*24</f>
        <v/>
      </c>
      <c r="K50" s="16" t="n"/>
    </row>
    <row r="51">
      <c r="A51" s="14" t="inlineStr">
        <is>
          <t>Sábado</t>
        </is>
      </c>
      <c r="B51" s="15" t="n"/>
      <c r="C51" s="15" t="n"/>
      <c r="D51" s="10" t="n"/>
      <c r="E51" s="16" t="n"/>
      <c r="F51" s="15" t="n"/>
      <c r="G51" s="15" t="n"/>
      <c r="H51" s="10" t="n"/>
      <c r="I51" s="16" t="n"/>
      <c r="J51" s="17">
        <f>(IF(AND(B51&lt;&gt;"",C51&lt;&gt;""),C51-B51,0)+IF(AND(F51&lt;&gt;"",G51&lt;&gt;""),G51-F51,0))*24</f>
        <v/>
      </c>
      <c r="K51" s="16" t="n"/>
    </row>
    <row r="52">
      <c r="I52" s="2" t="inlineStr">
        <is>
          <t>Total de la semana</t>
        </is>
      </c>
      <c r="J52" s="18">
        <f>SUM(J46:J51)</f>
        <v/>
      </c>
      <c r="K52" s="4">
        <f>IF(J52=0,"",IF(J52&lt;42,"Faltan "&amp;TEXT(42-J52,"0.0")&amp;" horas para las 42",IF(J52&gt;42,"Pasa de 42: ajustar","Cumple 42 horas")))</f>
        <v/>
      </c>
    </row>
    <row r="54">
      <c r="A54" s="2" t="inlineStr">
        <is>
          <t>Semana 6 · del</t>
        </is>
      </c>
      <c r="B54" s="3" t="n"/>
      <c r="C54" s="4" t="inlineStr">
        <is>
          <t>Enviado a coordinación:</t>
        </is>
      </c>
      <c r="D54" s="13" t="n"/>
    </row>
    <row r="55" ht="32" customHeight="1">
      <c r="A55" s="9" t="inlineStr">
        <is>
          <t>Día</t>
        </is>
      </c>
      <c r="B55" s="9" t="inlineStr">
        <is>
          <t>Mañana de</t>
        </is>
      </c>
      <c r="C55" s="9" t="inlineStr">
        <is>
          <t>a</t>
        </is>
      </c>
      <c r="D55" s="9" t="inlineStr">
        <is>
          <t>Dónde</t>
        </is>
      </c>
      <c r="E55" s="9" t="inlineStr">
        <is>
          <t>Qué (empresas, reuniones, citas, oficina)</t>
        </is>
      </c>
      <c r="F55" s="9" t="inlineStr">
        <is>
          <t>Tarde de</t>
        </is>
      </c>
      <c r="G55" s="9" t="inlineStr">
        <is>
          <t>a</t>
        </is>
      </c>
      <c r="H55" s="9" t="inlineStr">
        <is>
          <t>Dónde</t>
        </is>
      </c>
      <c r="I55" s="9" t="inlineStr">
        <is>
          <t>Qué</t>
        </is>
      </c>
      <c r="J55" s="9" t="inlineStr">
        <is>
          <t>Horas</t>
        </is>
      </c>
      <c r="K55" s="9" t="inlineStr">
        <is>
          <t>Observaciones / cambios</t>
        </is>
      </c>
    </row>
    <row r="56">
      <c r="A56" s="14" t="inlineStr">
        <is>
          <t>Lunes</t>
        </is>
      </c>
      <c r="B56" s="15" t="n"/>
      <c r="C56" s="15" t="n"/>
      <c r="D56" s="10" t="n"/>
      <c r="E56" s="16" t="n"/>
      <c r="F56" s="15" t="n"/>
      <c r="G56" s="15" t="n"/>
      <c r="H56" s="10" t="n"/>
      <c r="I56" s="16" t="n"/>
      <c r="J56" s="17">
        <f>(IF(AND(B56&lt;&gt;"",C56&lt;&gt;""),C56-B56,0)+IF(AND(F56&lt;&gt;"",G56&lt;&gt;""),G56-F56,0))*24</f>
        <v/>
      </c>
      <c r="K56" s="16" t="n"/>
    </row>
    <row r="57">
      <c r="A57" s="14" t="inlineStr">
        <is>
          <t>Martes</t>
        </is>
      </c>
      <c r="B57" s="15" t="n"/>
      <c r="C57" s="15" t="n"/>
      <c r="D57" s="10" t="n"/>
      <c r="E57" s="16" t="n"/>
      <c r="F57" s="15" t="n"/>
      <c r="G57" s="15" t="n"/>
      <c r="H57" s="10" t="n"/>
      <c r="I57" s="16" t="n"/>
      <c r="J57" s="17">
        <f>(IF(AND(B57&lt;&gt;"",C57&lt;&gt;""),C57-B57,0)+IF(AND(F57&lt;&gt;"",G57&lt;&gt;""),G57-F57,0))*24</f>
        <v/>
      </c>
      <c r="K57" s="16" t="n"/>
    </row>
    <row r="58">
      <c r="A58" s="14" t="inlineStr">
        <is>
          <t>Miércoles</t>
        </is>
      </c>
      <c r="B58" s="15" t="n"/>
      <c r="C58" s="15" t="n"/>
      <c r="D58" s="10" t="n"/>
      <c r="E58" s="16" t="n"/>
      <c r="F58" s="15" t="n"/>
      <c r="G58" s="15" t="n"/>
      <c r="H58" s="10" t="n"/>
      <c r="I58" s="16" t="n"/>
      <c r="J58" s="17">
        <f>(IF(AND(B58&lt;&gt;"",C58&lt;&gt;""),C58-B58,0)+IF(AND(F58&lt;&gt;"",G58&lt;&gt;""),G58-F58,0))*24</f>
        <v/>
      </c>
      <c r="K58" s="16" t="n"/>
    </row>
    <row r="59">
      <c r="A59" s="14" t="inlineStr">
        <is>
          <t>Jueves</t>
        </is>
      </c>
      <c r="B59" s="15" t="n"/>
      <c r="C59" s="15" t="n"/>
      <c r="D59" s="10" t="n"/>
      <c r="E59" s="16" t="n"/>
      <c r="F59" s="15" t="n"/>
      <c r="G59" s="15" t="n"/>
      <c r="H59" s="10" t="n"/>
      <c r="I59" s="16" t="n"/>
      <c r="J59" s="17">
        <f>(IF(AND(B59&lt;&gt;"",C59&lt;&gt;""),C59-B59,0)+IF(AND(F59&lt;&gt;"",G59&lt;&gt;""),G59-F59,0))*24</f>
        <v/>
      </c>
      <c r="K59" s="16" t="n"/>
    </row>
    <row r="60">
      <c r="A60" s="14" t="inlineStr">
        <is>
          <t>Viernes</t>
        </is>
      </c>
      <c r="B60" s="15" t="n"/>
      <c r="C60" s="15" t="n"/>
      <c r="D60" s="10" t="n"/>
      <c r="E60" s="16" t="n"/>
      <c r="F60" s="15" t="n"/>
      <c r="G60" s="15" t="n"/>
      <c r="H60" s="10" t="n"/>
      <c r="I60" s="16" t="n"/>
      <c r="J60" s="17">
        <f>(IF(AND(B60&lt;&gt;"",C60&lt;&gt;""),C60-B60,0)+IF(AND(F60&lt;&gt;"",G60&lt;&gt;""),G60-F60,0))*24</f>
        <v/>
      </c>
      <c r="K60" s="16" t="n"/>
    </row>
    <row r="61">
      <c r="A61" s="14" t="inlineStr">
        <is>
          <t>Sábado</t>
        </is>
      </c>
      <c r="B61" s="15" t="n"/>
      <c r="C61" s="15" t="n"/>
      <c r="D61" s="10" t="n"/>
      <c r="E61" s="16" t="n"/>
      <c r="F61" s="15" t="n"/>
      <c r="G61" s="15" t="n"/>
      <c r="H61" s="10" t="n"/>
      <c r="I61" s="16" t="n"/>
      <c r="J61" s="17">
        <f>(IF(AND(B61&lt;&gt;"",C61&lt;&gt;""),C61-B61,0)+IF(AND(F61&lt;&gt;"",G61&lt;&gt;""),G61-F61,0))*24</f>
        <v/>
      </c>
      <c r="K61" s="16" t="n"/>
    </row>
    <row r="62">
      <c r="I62" s="2" t="inlineStr">
        <is>
          <t>Total de la semana</t>
        </is>
      </c>
      <c r="J62" s="18">
        <f>SUM(J56:J61)</f>
        <v/>
      </c>
      <c r="K62" s="4">
        <f>IF(J62=0,"",IF(J62&lt;42,"Faltan "&amp;TEXT(42-J62,"0.0")&amp;" horas para las 42",IF(J62&gt;42,"Pasa de 42: ajustar","Cumple 42 horas")))</f>
        <v/>
      </c>
    </row>
    <row r="64">
      <c r="A64" s="2" t="inlineStr">
        <is>
          <t>Semana 7 · del</t>
        </is>
      </c>
      <c r="B64" s="3" t="n"/>
      <c r="C64" s="4" t="inlineStr">
        <is>
          <t>Enviado a coordinación:</t>
        </is>
      </c>
      <c r="D64" s="13" t="n"/>
    </row>
    <row r="65" ht="32" customHeight="1">
      <c r="A65" s="9" t="inlineStr">
        <is>
          <t>Día</t>
        </is>
      </c>
      <c r="B65" s="9" t="inlineStr">
        <is>
          <t>Mañana de</t>
        </is>
      </c>
      <c r="C65" s="9" t="inlineStr">
        <is>
          <t>a</t>
        </is>
      </c>
      <c r="D65" s="9" t="inlineStr">
        <is>
          <t>Dónde</t>
        </is>
      </c>
      <c r="E65" s="9" t="inlineStr">
        <is>
          <t>Qué (empresas, reuniones, citas, oficina)</t>
        </is>
      </c>
      <c r="F65" s="9" t="inlineStr">
        <is>
          <t>Tarde de</t>
        </is>
      </c>
      <c r="G65" s="9" t="inlineStr">
        <is>
          <t>a</t>
        </is>
      </c>
      <c r="H65" s="9" t="inlineStr">
        <is>
          <t>Dónde</t>
        </is>
      </c>
      <c r="I65" s="9" t="inlineStr">
        <is>
          <t>Qué</t>
        </is>
      </c>
      <c r="J65" s="9" t="inlineStr">
        <is>
          <t>Horas</t>
        </is>
      </c>
      <c r="K65" s="9" t="inlineStr">
        <is>
          <t>Observaciones / cambios</t>
        </is>
      </c>
    </row>
    <row r="66">
      <c r="A66" s="14" t="inlineStr">
        <is>
          <t>Lunes</t>
        </is>
      </c>
      <c r="B66" s="15" t="n"/>
      <c r="C66" s="15" t="n"/>
      <c r="D66" s="10" t="n"/>
      <c r="E66" s="16" t="n"/>
      <c r="F66" s="15" t="n"/>
      <c r="G66" s="15" t="n"/>
      <c r="H66" s="10" t="n"/>
      <c r="I66" s="16" t="n"/>
      <c r="J66" s="17">
        <f>(IF(AND(B66&lt;&gt;"",C66&lt;&gt;""),C66-B66,0)+IF(AND(F66&lt;&gt;"",G66&lt;&gt;""),G66-F66,0))*24</f>
        <v/>
      </c>
      <c r="K66" s="16" t="n"/>
    </row>
    <row r="67">
      <c r="A67" s="14" t="inlineStr">
        <is>
          <t>Martes</t>
        </is>
      </c>
      <c r="B67" s="15" t="n"/>
      <c r="C67" s="15" t="n"/>
      <c r="D67" s="10" t="n"/>
      <c r="E67" s="16" t="n"/>
      <c r="F67" s="15" t="n"/>
      <c r="G67" s="15" t="n"/>
      <c r="H67" s="10" t="n"/>
      <c r="I67" s="16" t="n"/>
      <c r="J67" s="17">
        <f>(IF(AND(B67&lt;&gt;"",C67&lt;&gt;""),C67-B67,0)+IF(AND(F67&lt;&gt;"",G67&lt;&gt;""),G67-F67,0))*24</f>
        <v/>
      </c>
      <c r="K67" s="16" t="n"/>
    </row>
    <row r="68">
      <c r="A68" s="14" t="inlineStr">
        <is>
          <t>Miércoles</t>
        </is>
      </c>
      <c r="B68" s="15" t="n"/>
      <c r="C68" s="15" t="n"/>
      <c r="D68" s="10" t="n"/>
      <c r="E68" s="16" t="n"/>
      <c r="F68" s="15" t="n"/>
      <c r="G68" s="15" t="n"/>
      <c r="H68" s="10" t="n"/>
      <c r="I68" s="16" t="n"/>
      <c r="J68" s="17">
        <f>(IF(AND(B68&lt;&gt;"",C68&lt;&gt;""),C68-B68,0)+IF(AND(F68&lt;&gt;"",G68&lt;&gt;""),G68-F68,0))*24</f>
        <v/>
      </c>
      <c r="K68" s="16" t="n"/>
    </row>
    <row r="69">
      <c r="A69" s="14" t="inlineStr">
        <is>
          <t>Jueves</t>
        </is>
      </c>
      <c r="B69" s="15" t="n"/>
      <c r="C69" s="15" t="n"/>
      <c r="D69" s="10" t="n"/>
      <c r="E69" s="16" t="n"/>
      <c r="F69" s="15" t="n"/>
      <c r="G69" s="15" t="n"/>
      <c r="H69" s="10" t="n"/>
      <c r="I69" s="16" t="n"/>
      <c r="J69" s="17">
        <f>(IF(AND(B69&lt;&gt;"",C69&lt;&gt;""),C69-B69,0)+IF(AND(F69&lt;&gt;"",G69&lt;&gt;""),G69-F69,0))*24</f>
        <v/>
      </c>
      <c r="K69" s="16" t="n"/>
    </row>
    <row r="70">
      <c r="A70" s="14" t="inlineStr">
        <is>
          <t>Viernes</t>
        </is>
      </c>
      <c r="B70" s="15" t="n"/>
      <c r="C70" s="15" t="n"/>
      <c r="D70" s="10" t="n"/>
      <c r="E70" s="16" t="n"/>
      <c r="F70" s="15" t="n"/>
      <c r="G70" s="15" t="n"/>
      <c r="H70" s="10" t="n"/>
      <c r="I70" s="16" t="n"/>
      <c r="J70" s="17">
        <f>(IF(AND(B70&lt;&gt;"",C70&lt;&gt;""),C70-B70,0)+IF(AND(F70&lt;&gt;"",G70&lt;&gt;""),G70-F70,0))*24</f>
        <v/>
      </c>
      <c r="K70" s="16" t="n"/>
    </row>
    <row r="71">
      <c r="A71" s="14" t="inlineStr">
        <is>
          <t>Sábado</t>
        </is>
      </c>
      <c r="B71" s="15" t="n"/>
      <c r="C71" s="15" t="n"/>
      <c r="D71" s="10" t="n"/>
      <c r="E71" s="16" t="n"/>
      <c r="F71" s="15" t="n"/>
      <c r="G71" s="15" t="n"/>
      <c r="H71" s="10" t="n"/>
      <c r="I71" s="16" t="n"/>
      <c r="J71" s="17">
        <f>(IF(AND(B71&lt;&gt;"",C71&lt;&gt;""),C71-B71,0)+IF(AND(F71&lt;&gt;"",G71&lt;&gt;""),G71-F71,0))*24</f>
        <v/>
      </c>
      <c r="K71" s="16" t="n"/>
    </row>
    <row r="72">
      <c r="I72" s="2" t="inlineStr">
        <is>
          <t>Total de la semana</t>
        </is>
      </c>
      <c r="J72" s="18">
        <f>SUM(J66:J71)</f>
        <v/>
      </c>
      <c r="K72" s="4">
        <f>IF(J72=0,"",IF(J72&lt;42,"Faltan "&amp;TEXT(42-J72,"0.0")&amp;" horas para las 42",IF(J72&gt;42,"Pasa de 42: ajustar","Cumple 42 horas")))</f>
        <v/>
      </c>
    </row>
    <row r="74">
      <c r="A74" s="2" t="inlineStr">
        <is>
          <t>Semana 8 · del</t>
        </is>
      </c>
      <c r="B74" s="3" t="n"/>
      <c r="C74" s="4" t="inlineStr">
        <is>
          <t>Enviado a coordinación:</t>
        </is>
      </c>
      <c r="D74" s="13" t="n"/>
    </row>
    <row r="75" ht="32" customHeight="1">
      <c r="A75" s="9" t="inlineStr">
        <is>
          <t>Día</t>
        </is>
      </c>
      <c r="B75" s="9" t="inlineStr">
        <is>
          <t>Mañana de</t>
        </is>
      </c>
      <c r="C75" s="9" t="inlineStr">
        <is>
          <t>a</t>
        </is>
      </c>
      <c r="D75" s="9" t="inlineStr">
        <is>
          <t>Dónde</t>
        </is>
      </c>
      <c r="E75" s="9" t="inlineStr">
        <is>
          <t>Qué (empresas, reuniones, citas, oficina)</t>
        </is>
      </c>
      <c r="F75" s="9" t="inlineStr">
        <is>
          <t>Tarde de</t>
        </is>
      </c>
      <c r="G75" s="9" t="inlineStr">
        <is>
          <t>a</t>
        </is>
      </c>
      <c r="H75" s="9" t="inlineStr">
        <is>
          <t>Dónde</t>
        </is>
      </c>
      <c r="I75" s="9" t="inlineStr">
        <is>
          <t>Qué</t>
        </is>
      </c>
      <c r="J75" s="9" t="inlineStr">
        <is>
          <t>Horas</t>
        </is>
      </c>
      <c r="K75" s="9" t="inlineStr">
        <is>
          <t>Observaciones / cambios</t>
        </is>
      </c>
    </row>
    <row r="76">
      <c r="A76" s="14" t="inlineStr">
        <is>
          <t>Lunes</t>
        </is>
      </c>
      <c r="B76" s="15" t="n"/>
      <c r="C76" s="15" t="n"/>
      <c r="D76" s="10" t="n"/>
      <c r="E76" s="16" t="n"/>
      <c r="F76" s="15" t="n"/>
      <c r="G76" s="15" t="n"/>
      <c r="H76" s="10" t="n"/>
      <c r="I76" s="16" t="n"/>
      <c r="J76" s="17">
        <f>(IF(AND(B76&lt;&gt;"",C76&lt;&gt;""),C76-B76,0)+IF(AND(F76&lt;&gt;"",G76&lt;&gt;""),G76-F76,0))*24</f>
        <v/>
      </c>
      <c r="K76" s="16" t="n"/>
    </row>
    <row r="77">
      <c r="A77" s="14" t="inlineStr">
        <is>
          <t>Martes</t>
        </is>
      </c>
      <c r="B77" s="15" t="n"/>
      <c r="C77" s="15" t="n"/>
      <c r="D77" s="10" t="n"/>
      <c r="E77" s="16" t="n"/>
      <c r="F77" s="15" t="n"/>
      <c r="G77" s="15" t="n"/>
      <c r="H77" s="10" t="n"/>
      <c r="I77" s="16" t="n"/>
      <c r="J77" s="17">
        <f>(IF(AND(B77&lt;&gt;"",C77&lt;&gt;""),C77-B77,0)+IF(AND(F77&lt;&gt;"",G77&lt;&gt;""),G77-F77,0))*24</f>
        <v/>
      </c>
      <c r="K77" s="16" t="n"/>
    </row>
    <row r="78">
      <c r="A78" s="14" t="inlineStr">
        <is>
          <t>Miércoles</t>
        </is>
      </c>
      <c r="B78" s="15" t="n"/>
      <c r="C78" s="15" t="n"/>
      <c r="D78" s="10" t="n"/>
      <c r="E78" s="16" t="n"/>
      <c r="F78" s="15" t="n"/>
      <c r="G78" s="15" t="n"/>
      <c r="H78" s="10" t="n"/>
      <c r="I78" s="16" t="n"/>
      <c r="J78" s="17">
        <f>(IF(AND(B78&lt;&gt;"",C78&lt;&gt;""),C78-B78,0)+IF(AND(F78&lt;&gt;"",G78&lt;&gt;""),G78-F78,0))*24</f>
        <v/>
      </c>
      <c r="K78" s="16" t="n"/>
    </row>
    <row r="79">
      <c r="A79" s="14" t="inlineStr">
        <is>
          <t>Jueves</t>
        </is>
      </c>
      <c r="B79" s="15" t="n"/>
      <c r="C79" s="15" t="n"/>
      <c r="D79" s="10" t="n"/>
      <c r="E79" s="16" t="n"/>
      <c r="F79" s="15" t="n"/>
      <c r="G79" s="15" t="n"/>
      <c r="H79" s="10" t="n"/>
      <c r="I79" s="16" t="n"/>
      <c r="J79" s="17">
        <f>(IF(AND(B79&lt;&gt;"",C79&lt;&gt;""),C79-B79,0)+IF(AND(F79&lt;&gt;"",G79&lt;&gt;""),G79-F79,0))*24</f>
        <v/>
      </c>
      <c r="K79" s="16" t="n"/>
    </row>
    <row r="80">
      <c r="A80" s="14" t="inlineStr">
        <is>
          <t>Viernes</t>
        </is>
      </c>
      <c r="B80" s="15" t="n"/>
      <c r="C80" s="15" t="n"/>
      <c r="D80" s="10" t="n"/>
      <c r="E80" s="16" t="n"/>
      <c r="F80" s="15" t="n"/>
      <c r="G80" s="15" t="n"/>
      <c r="H80" s="10" t="n"/>
      <c r="I80" s="16" t="n"/>
      <c r="J80" s="17">
        <f>(IF(AND(B80&lt;&gt;"",C80&lt;&gt;""),C80-B80,0)+IF(AND(F80&lt;&gt;"",G80&lt;&gt;""),G80-F80,0))*24</f>
        <v/>
      </c>
      <c r="K80" s="16" t="n"/>
    </row>
    <row r="81">
      <c r="A81" s="14" t="inlineStr">
        <is>
          <t>Sábado</t>
        </is>
      </c>
      <c r="B81" s="15" t="n"/>
      <c r="C81" s="15" t="n"/>
      <c r="D81" s="10" t="n"/>
      <c r="E81" s="16" t="n"/>
      <c r="F81" s="15" t="n"/>
      <c r="G81" s="15" t="n"/>
      <c r="H81" s="10" t="n"/>
      <c r="I81" s="16" t="n"/>
      <c r="J81" s="17">
        <f>(IF(AND(B81&lt;&gt;"",C81&lt;&gt;""),C81-B81,0)+IF(AND(F81&lt;&gt;"",G81&lt;&gt;""),G81-F81,0))*24</f>
        <v/>
      </c>
      <c r="K81" s="16" t="n"/>
    </row>
    <row r="82">
      <c r="I82" s="2" t="inlineStr">
        <is>
          <t>Total de la semana</t>
        </is>
      </c>
      <c r="J82" s="18">
        <f>SUM(J76:J81)</f>
        <v/>
      </c>
      <c r="K82" s="4">
        <f>IF(J82=0,"",IF(J82&lt;42,"Faltan "&amp;TEXT(42-J82,"0.0")&amp;" horas para las 42",IF(J82&gt;42,"Pasa de 42: ajustar","Cumple 42 horas")))</f>
        <v/>
      </c>
    </row>
  </sheetData>
  <mergeCells count="1">
    <mergeCell ref="A2:K2"/>
  </mergeCells>
  <dataValidations count="1">
    <dataValidation sqref="D6 D7 D8 D9 D10 D11 D16 D17 D18 D19 D20 D21 D26 D27 D28 D29 D30 D31 D36 D37 D38 D39 D40 D41 D46 D47 D48 D49 D50 D51 D56 D57 D58 D59 D60 D61 D66 D67 D68 D69 D70 D71 D76 D77 D78 D79 D80 D81 H6 H7 H8 H9 H10 H11 H16 H17 H18 H19 H20 H21 H26 H27 H28 H29 H30 H31 H36 H37 H38 H39 H40 H41 H46 H47 H48 H49 H50 H51 H56 H57 H58 H59 H60 H61 H66 H67 H68 H69 H70 H71 H76 H77 H78 H79 H80 H81" showDropDown="0" showInputMessage="0" showErrorMessage="0" allowBlank="1" type="list">
      <formula1>"Sede,Casa,Calle / empresa,Virtual"</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10" customWidth="1" min="1" max="1"/>
    <col width="12" customWidth="1" min="2" max="2"/>
    <col width="10" customWidth="1" min="3" max="3"/>
    <col width="20" customWidth="1" min="4" max="4"/>
    <col width="18" customWidth="1" min="5" max="5"/>
    <col width="16" customWidth="1" min="6" max="6"/>
    <col width="34" customWidth="1" min="7" max="7"/>
  </cols>
  <sheetData>
    <row r="1" ht="32" customHeight="1">
      <c r="A1" s="9" t="inlineStr">
        <is>
          <t>Trimestre</t>
        </is>
      </c>
      <c r="B1" s="9" t="inlineStr">
        <is>
          <t>Meses de contrato desde</t>
        </is>
      </c>
      <c r="C1" s="9" t="inlineStr">
        <is>
          <t>hasta</t>
        </is>
      </c>
      <c r="D1" s="9" t="inlineStr">
        <is>
          <t>Meta del trimestre (ventas firmadas)</t>
        </is>
      </c>
      <c r="E1" s="9" t="inlineStr">
        <is>
          <t>Meta al mes (referencia)</t>
        </is>
      </c>
      <c r="F1" s="9" t="inlineStr">
        <is>
          <t>Programas completos al mes (≈)</t>
        </is>
      </c>
      <c r="G1" s="9" t="inlineStr">
        <is>
          <t>Básico</t>
        </is>
      </c>
    </row>
    <row r="2">
      <c r="A2" t="inlineStr">
        <is>
          <t>T1</t>
        </is>
      </c>
      <c r="B2" t="n">
        <v>1</v>
      </c>
      <c r="C2" t="n">
        <v>3</v>
      </c>
      <c r="D2" s="12" t="n">
        <v>90000000</v>
      </c>
      <c r="E2" s="12" t="n">
        <v>30000000</v>
      </c>
      <c r="F2" t="inlineStr">
        <is>
          <t>6 + 1 Arranque</t>
        </is>
      </c>
      <c r="G2" t="inlineStr">
        <is>
          <t>SMMLV + auxilio</t>
        </is>
      </c>
    </row>
    <row r="3">
      <c r="A3" t="inlineStr">
        <is>
          <t>T2</t>
        </is>
      </c>
      <c r="B3" t="n">
        <v>4</v>
      </c>
      <c r="C3" t="n">
        <v>6</v>
      </c>
      <c r="D3" s="12" t="n">
        <v>144000000</v>
      </c>
      <c r="E3" s="12" t="n">
        <v>48000000</v>
      </c>
      <c r="F3" t="n">
        <v>10</v>
      </c>
      <c r="G3" t="inlineStr">
        <is>
          <t>SMMLV + auxilio</t>
        </is>
      </c>
    </row>
    <row r="4">
      <c r="A4" t="inlineStr">
        <is>
          <t>T3</t>
        </is>
      </c>
      <c r="B4" t="n">
        <v>7</v>
      </c>
      <c r="C4" t="n">
        <v>9</v>
      </c>
      <c r="D4" s="12" t="n">
        <v>198000000</v>
      </c>
      <c r="E4" s="12" t="n">
        <v>66000000</v>
      </c>
      <c r="F4" t="n">
        <v>14</v>
      </c>
      <c r="G4" t="inlineStr">
        <is>
          <t>SMMLV + $550.000 + auxilio (si cumple)</t>
        </is>
      </c>
    </row>
    <row r="5">
      <c r="A5" t="inlineStr">
        <is>
          <t>T4</t>
        </is>
      </c>
      <c r="B5" t="n">
        <v>10</v>
      </c>
      <c r="C5" t="n">
        <v>12</v>
      </c>
      <c r="D5" s="12" t="n">
        <v>234000000</v>
      </c>
      <c r="E5" s="12" t="n">
        <v>78000000</v>
      </c>
      <c r="F5" t="n">
        <v>16</v>
      </c>
      <c r="G5" t="inlineStr">
        <is>
          <t>SMMLV + $550.000 + auxilio (si cumple)</t>
        </is>
      </c>
    </row>
    <row r="6">
      <c r="A6" t="inlineStr">
        <is>
          <t>T5</t>
        </is>
      </c>
      <c r="B6" t="n">
        <v>13</v>
      </c>
      <c r="C6" t="n">
        <v>15</v>
      </c>
      <c r="D6" s="12" t="n">
        <v>252000000</v>
      </c>
      <c r="E6" s="12" t="n">
        <v>84000000</v>
      </c>
      <c r="F6" t="n">
        <v>18</v>
      </c>
      <c r="G6" t="inlineStr">
        <is>
          <t>SMMLV + $850.000 + auxilio (si cumple)</t>
        </is>
      </c>
    </row>
    <row r="7">
      <c r="A7" t="inlineStr">
        <is>
          <t>T6</t>
        </is>
      </c>
      <c r="B7" t="n">
        <v>16</v>
      </c>
      <c r="C7" t="n">
        <v>18</v>
      </c>
      <c r="D7" s="12" t="n">
        <v>276000000</v>
      </c>
      <c r="E7" s="12" t="n">
        <v>92000000</v>
      </c>
      <c r="F7" t="n">
        <v>19</v>
      </c>
      <c r="G7" t="inlineStr">
        <is>
          <t>SMMLV + $850.000 + auxilio (si cumple)</t>
        </is>
      </c>
    </row>
    <row r="8">
      <c r="A8" t="inlineStr">
        <is>
          <t>T7</t>
        </is>
      </c>
      <c r="B8" t="n">
        <v>19</v>
      </c>
      <c r="C8" t="n">
        <v>21</v>
      </c>
      <c r="D8" s="12" t="n">
        <v>300000000</v>
      </c>
      <c r="E8" s="12" t="n">
        <v>100000000</v>
      </c>
      <c r="F8" t="n">
        <v>21</v>
      </c>
      <c r="G8" t="inlineStr">
        <is>
          <t>SMMLV + $850.000 + auxilio (si cumple)</t>
        </is>
      </c>
    </row>
    <row r="9">
      <c r="A9" t="inlineStr">
        <is>
          <t>T8</t>
        </is>
      </c>
      <c r="B9" t="n">
        <v>22</v>
      </c>
      <c r="C9" t="n">
        <v>24</v>
      </c>
      <c r="D9" s="12" t="n">
        <v>324000000</v>
      </c>
      <c r="E9" s="12" t="n">
        <v>108000000</v>
      </c>
      <c r="F9" t="n">
        <v>23</v>
      </c>
      <c r="G9" t="inlineStr">
        <is>
          <t>SMMLV + $850.000 + auxilio (si cumple)</t>
        </is>
      </c>
    </row>
    <row r="11">
      <c r="A11" s="4" t="inlineStr">
        <is>
          <t>Desde T9: la meta del trimestre anterior + 2,5% (salvo otrosí). Acelerador: 10% hasta la meta, 15% del 100 al 130%, 20% sobre 130% (trimestres con 2+ empresas nuevas firmadas).</t>
        </is>
      </c>
    </row>
    <row r="13">
      <c r="A13" s="2" t="inlineStr">
        <is>
          <t>Mínimos de gestión (cada mes)</t>
        </is>
      </c>
    </row>
    <row r="14" ht="32" customHeight="1">
      <c r="A14" s="9" t="inlineStr">
        <is>
          <t>Mes de contrato</t>
        </is>
      </c>
      <c r="B14" s="9" t="inlineStr">
        <is>
          <t>Contactos con decisor</t>
        </is>
      </c>
      <c r="C14" s="9" t="inlineStr">
        <is>
          <t>Reuniones</t>
        </is>
      </c>
      <c r="D14" s="9" t="inlineStr">
        <is>
          <t>Activaciones</t>
        </is>
      </c>
      <c r="E14" s="9" t="inlineStr">
        <is>
          <t>Firmas acumuladas</t>
        </is>
      </c>
      <c r="F14" s="9" t="inlineStr">
        <is>
          <t>Meta de ventas del mes</t>
        </is>
      </c>
    </row>
    <row r="15">
      <c r="A15" t="n">
        <v>1</v>
      </c>
      <c r="B15" t="n">
        <v>40</v>
      </c>
      <c r="C15" t="n">
        <v>12</v>
      </c>
      <c r="D15" t="n">
        <v>0</v>
      </c>
      <c r="E15" t="n">
        <v>2</v>
      </c>
      <c r="F15" s="12" t="n">
        <v>30000000</v>
      </c>
    </row>
    <row r="16">
      <c r="A16" t="n">
        <v>2</v>
      </c>
      <c r="B16" t="n">
        <v>40</v>
      </c>
      <c r="C16" t="n">
        <v>12</v>
      </c>
      <c r="D16" t="n">
        <v>2</v>
      </c>
      <c r="E16" t="n">
        <v>4</v>
      </c>
      <c r="F16" s="12" t="n">
        <v>30000000</v>
      </c>
    </row>
    <row r="17">
      <c r="A17" t="n">
        <v>3</v>
      </c>
      <c r="B17" t="n">
        <v>40</v>
      </c>
      <c r="C17" t="n">
        <v>12</v>
      </c>
      <c r="D17" t="n">
        <v>3</v>
      </c>
      <c r="E17" t="n">
        <v>6</v>
      </c>
      <c r="F17" s="12" t="n">
        <v>30000000</v>
      </c>
    </row>
    <row r="18">
      <c r="A18" t="inlineStr">
        <is>
          <t>4+</t>
        </is>
      </c>
      <c r="B18" t="n">
        <v>40</v>
      </c>
      <c r="C18" t="n">
        <v>12</v>
      </c>
      <c r="D18" t="inlineStr">
        <is>
          <t>1 por alianza por trimestre</t>
        </is>
      </c>
      <c r="E18" t="inlineStr">
        <is>
          <t>—</t>
        </is>
      </c>
      <c r="F18" t="inlineStr">
        <is>
          <t>según trimestre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312"/>
  <sheetViews>
    <sheetView workbookViewId="0">
      <pane ySplit="6" topLeftCell="A7" activePane="bottomLeft" state="frozen"/>
      <selection pane="bottomLeft" activeCell="A1" sqref="A1"/>
    </sheetView>
  </sheetViews>
  <sheetFormatPr baseColWidth="8" defaultRowHeight="15"/>
  <cols>
    <col width="32" customWidth="1" min="1" max="1"/>
    <col width="26" customWidth="1" min="2" max="2"/>
    <col width="16" customWidth="1" min="3" max="3"/>
    <col width="16" customWidth="1" min="4" max="4"/>
    <col width="12" customWidth="1" min="5" max="5"/>
    <col width="11" customWidth="1" min="6" max="6"/>
    <col width="14" customWidth="1" min="7" max="7"/>
    <col width="24" customWidth="1" min="8" max="8"/>
    <col width="40" customWidth="1" min="9" max="9"/>
  </cols>
  <sheetData>
    <row r="1">
      <c r="A1" s="1" t="inlineStr">
        <is>
          <t>LIQUIDACIÓN DE COMISIONES — sobre lo RECAUDADO (no sobre lo firmado)</t>
        </is>
      </c>
    </row>
    <row r="2">
      <c r="A2" s="2" t="inlineStr">
        <is>
          <t>Mes liquidado (primer día)</t>
        </is>
      </c>
      <c r="B2" s="19" t="n"/>
    </row>
    <row r="3">
      <c r="A3" s="2" t="inlineStr">
        <is>
          <t>Básico del mes (SMMLV + auxilio vigente)</t>
        </is>
      </c>
      <c r="B3" s="20" t="n">
        <v>2000000</v>
      </c>
    </row>
    <row r="4">
      <c r="A4" s="2" t="inlineStr">
        <is>
          <t>¿Cumplió gestión y firmas? (meses 1-3)</t>
        </is>
      </c>
      <c r="B4" s="5" t="inlineStr">
        <is>
          <t>Sí</t>
        </is>
      </c>
    </row>
    <row r="6" ht="32" customHeight="1">
      <c r="A6" s="9" t="inlineStr">
        <is>
          <t>Empresa o estudiante</t>
        </is>
      </c>
      <c r="B6" s="9" t="inlineStr">
        <is>
          <t>Tipo de comisión</t>
        </is>
      </c>
      <c r="C6" s="9" t="inlineStr">
        <is>
          <t>Fecha de firma de la matrícula / orden</t>
        </is>
      </c>
      <c r="D6" s="9" t="inlineStr">
        <is>
          <t>Recaudado en el mes ($)</t>
        </is>
      </c>
      <c r="E6" s="9" t="inlineStr">
        <is>
          <t>Meses desde la firma</t>
        </is>
      </c>
      <c r="F6" s="9" t="inlineStr">
        <is>
          <t>% que aplica</t>
        </is>
      </c>
      <c r="G6" s="9" t="inlineStr">
        <is>
          <t>Comisión ($)</t>
        </is>
      </c>
      <c r="H6" s="9" t="inlineStr">
        <is>
          <t>Soporte (recibo / factura)</t>
        </is>
      </c>
      <c r="I6" s="21" t="inlineStr">
        <is>
          <t>Nota</t>
        </is>
      </c>
    </row>
    <row r="7">
      <c r="C7" s="6" t="n"/>
      <c r="D7" s="12" t="n"/>
      <c r="E7">
        <f>IF(OR(C7="",$B$2=""),"",DATEDIF(C7,EOMONTH($B$2,0),"m")+1)</f>
        <v/>
      </c>
      <c r="F7" s="8">
        <f>IF(B7="","",IF(LEFT(B7,4)="Plan",IF(E7&lt;=12,0.10,0),IF(LEFT(B7,7)="Cartera",IF(E7&lt;=12,0.06,IF(E7&lt;=24,0.03,0)),"tarifa asesora")))</f>
        <v/>
      </c>
      <c r="G7" s="12">
        <f>IF(OR(D7="",F7=""),"",IF(ISNUMBER(F7),D7*F7,""))</f>
        <v/>
      </c>
      <c r="I7" s="7" t="inlineStr">
        <is>
          <t>Cierre de apoyo: escribir la comisión de asesora a mano en G. El acelerador (15% / 20%) se liquida al cierre del trimestre aparte.</t>
        </is>
      </c>
    </row>
    <row r="8">
      <c r="C8" s="6" t="n"/>
      <c r="D8" s="12" t="n"/>
      <c r="E8">
        <f>IF(OR(C8="",$B$2=""),"",DATEDIF(C8,EOMONTH($B$2,0),"m")+1)</f>
        <v/>
      </c>
      <c r="F8" s="8">
        <f>IF(B8="","",IF(LEFT(B8,4)="Plan",IF(E8&lt;=12,0.10,0),IF(LEFT(B8,7)="Cartera",IF(E8&lt;=12,0.06,IF(E8&lt;=24,0.03,0)),"tarifa asesora")))</f>
        <v/>
      </c>
      <c r="G8" s="12">
        <f>IF(OR(D8="",F8=""),"",IF(ISNUMBER(F8),D8*F8,""))</f>
        <v/>
      </c>
    </row>
    <row r="9">
      <c r="C9" s="6" t="n"/>
      <c r="D9" s="12" t="n"/>
      <c r="E9">
        <f>IF(OR(C9="",$B$2=""),"",DATEDIF(C9,EOMONTH($B$2,0),"m")+1)</f>
        <v/>
      </c>
      <c r="F9" s="8">
        <f>IF(B9="","",IF(LEFT(B9,4)="Plan",IF(E9&lt;=12,0.10,0),IF(LEFT(B9,7)="Cartera",IF(E9&lt;=12,0.06,IF(E9&lt;=24,0.03,0)),"tarifa asesora")))</f>
        <v/>
      </c>
      <c r="G9" s="12">
        <f>IF(OR(D9="",F9=""),"",IF(ISNUMBER(F9),D9*F9,""))</f>
        <v/>
      </c>
    </row>
    <row r="10">
      <c r="C10" s="6" t="n"/>
      <c r="D10" s="12" t="n"/>
      <c r="E10">
        <f>IF(OR(C10="",$B$2=""),"",DATEDIF(C10,EOMONTH($B$2,0),"m")+1)</f>
        <v/>
      </c>
      <c r="F10" s="8">
        <f>IF(B10="","",IF(LEFT(B10,4)="Plan",IF(E10&lt;=12,0.10,0),IF(LEFT(B10,7)="Cartera",IF(E10&lt;=12,0.06,IF(E10&lt;=24,0.03,0)),"tarifa asesora")))</f>
        <v/>
      </c>
      <c r="G10" s="12">
        <f>IF(OR(D10="",F10=""),"",IF(ISNUMBER(F10),D10*F10,""))</f>
        <v/>
      </c>
    </row>
    <row r="11">
      <c r="C11" s="6" t="n"/>
      <c r="D11" s="12" t="n"/>
      <c r="E11">
        <f>IF(OR(C11="",$B$2=""),"",DATEDIF(C11,EOMONTH($B$2,0),"m")+1)</f>
        <v/>
      </c>
      <c r="F11" s="8">
        <f>IF(B11="","",IF(LEFT(B11,4)="Plan",IF(E11&lt;=12,0.10,0),IF(LEFT(B11,7)="Cartera",IF(E11&lt;=12,0.06,IF(E11&lt;=24,0.03,0)),"tarifa asesora")))</f>
        <v/>
      </c>
      <c r="G11" s="12">
        <f>IF(OR(D11="",F11=""),"",IF(ISNUMBER(F11),D11*F11,""))</f>
        <v/>
      </c>
    </row>
    <row r="12">
      <c r="C12" s="6" t="n"/>
      <c r="D12" s="12" t="n"/>
      <c r="E12">
        <f>IF(OR(C12="",$B$2=""),"",DATEDIF(C12,EOMONTH($B$2,0),"m")+1)</f>
        <v/>
      </c>
      <c r="F12" s="8">
        <f>IF(B12="","",IF(LEFT(B12,4)="Plan",IF(E12&lt;=12,0.10,0),IF(LEFT(B12,7)="Cartera",IF(E12&lt;=12,0.06,IF(E12&lt;=24,0.03,0)),"tarifa asesora")))</f>
        <v/>
      </c>
      <c r="G12" s="12">
        <f>IF(OR(D12="",F12=""),"",IF(ISNUMBER(F12),D12*F12,""))</f>
        <v/>
      </c>
    </row>
    <row r="13">
      <c r="C13" s="6" t="n"/>
      <c r="D13" s="12" t="n"/>
      <c r="E13">
        <f>IF(OR(C13="",$B$2=""),"",DATEDIF(C13,EOMONTH($B$2,0),"m")+1)</f>
        <v/>
      </c>
      <c r="F13" s="8">
        <f>IF(B13="","",IF(LEFT(B13,4)="Plan",IF(E13&lt;=12,0.10,0),IF(LEFT(B13,7)="Cartera",IF(E13&lt;=12,0.06,IF(E13&lt;=24,0.03,0)),"tarifa asesora")))</f>
        <v/>
      </c>
      <c r="G13" s="12">
        <f>IF(OR(D13="",F13=""),"",IF(ISNUMBER(F13),D13*F13,""))</f>
        <v/>
      </c>
    </row>
    <row r="14">
      <c r="C14" s="6" t="n"/>
      <c r="D14" s="12" t="n"/>
      <c r="E14">
        <f>IF(OR(C14="",$B$2=""),"",DATEDIF(C14,EOMONTH($B$2,0),"m")+1)</f>
        <v/>
      </c>
      <c r="F14" s="8">
        <f>IF(B14="","",IF(LEFT(B14,4)="Plan",IF(E14&lt;=12,0.10,0),IF(LEFT(B14,7)="Cartera",IF(E14&lt;=12,0.06,IF(E14&lt;=24,0.03,0)),"tarifa asesora")))</f>
        <v/>
      </c>
      <c r="G14" s="12">
        <f>IF(OR(D14="",F14=""),"",IF(ISNUMBER(F14),D14*F14,""))</f>
        <v/>
      </c>
    </row>
    <row r="15">
      <c r="C15" s="6" t="n"/>
      <c r="D15" s="12" t="n"/>
      <c r="E15">
        <f>IF(OR(C15="",$B$2=""),"",DATEDIF(C15,EOMONTH($B$2,0),"m")+1)</f>
        <v/>
      </c>
      <c r="F15" s="8">
        <f>IF(B15="","",IF(LEFT(B15,4)="Plan",IF(E15&lt;=12,0.10,0),IF(LEFT(B15,7)="Cartera",IF(E15&lt;=12,0.06,IF(E15&lt;=24,0.03,0)),"tarifa asesora")))</f>
        <v/>
      </c>
      <c r="G15" s="12">
        <f>IF(OR(D15="",F15=""),"",IF(ISNUMBER(F15),D15*F15,""))</f>
        <v/>
      </c>
    </row>
    <row r="16">
      <c r="C16" s="6" t="n"/>
      <c r="D16" s="12" t="n"/>
      <c r="E16">
        <f>IF(OR(C16="",$B$2=""),"",DATEDIF(C16,EOMONTH($B$2,0),"m")+1)</f>
        <v/>
      </c>
      <c r="F16" s="8">
        <f>IF(B16="","",IF(LEFT(B16,4)="Plan",IF(E16&lt;=12,0.10,0),IF(LEFT(B16,7)="Cartera",IF(E16&lt;=12,0.06,IF(E16&lt;=24,0.03,0)),"tarifa asesora")))</f>
        <v/>
      </c>
      <c r="G16" s="12">
        <f>IF(OR(D16="",F16=""),"",IF(ISNUMBER(F16),D16*F16,""))</f>
        <v/>
      </c>
    </row>
    <row r="17">
      <c r="C17" s="6" t="n"/>
      <c r="D17" s="12" t="n"/>
      <c r="E17">
        <f>IF(OR(C17="",$B$2=""),"",DATEDIF(C17,EOMONTH($B$2,0),"m")+1)</f>
        <v/>
      </c>
      <c r="F17" s="8">
        <f>IF(B17="","",IF(LEFT(B17,4)="Plan",IF(E17&lt;=12,0.10,0),IF(LEFT(B17,7)="Cartera",IF(E17&lt;=12,0.06,IF(E17&lt;=24,0.03,0)),"tarifa asesora")))</f>
        <v/>
      </c>
      <c r="G17" s="12">
        <f>IF(OR(D17="",F17=""),"",IF(ISNUMBER(F17),D17*F17,""))</f>
        <v/>
      </c>
    </row>
    <row r="18">
      <c r="C18" s="6" t="n"/>
      <c r="D18" s="12" t="n"/>
      <c r="E18">
        <f>IF(OR(C18="",$B$2=""),"",DATEDIF(C18,EOMONTH($B$2,0),"m")+1)</f>
        <v/>
      </c>
      <c r="F18" s="8">
        <f>IF(B18="","",IF(LEFT(B18,4)="Plan",IF(E18&lt;=12,0.10,0),IF(LEFT(B18,7)="Cartera",IF(E18&lt;=12,0.06,IF(E18&lt;=24,0.03,0)),"tarifa asesora")))</f>
        <v/>
      </c>
      <c r="G18" s="12">
        <f>IF(OR(D18="",F18=""),"",IF(ISNUMBER(F18),D18*F18,""))</f>
        <v/>
      </c>
    </row>
    <row r="19">
      <c r="C19" s="6" t="n"/>
      <c r="D19" s="12" t="n"/>
      <c r="E19">
        <f>IF(OR(C19="",$B$2=""),"",DATEDIF(C19,EOMONTH($B$2,0),"m")+1)</f>
        <v/>
      </c>
      <c r="F19" s="8">
        <f>IF(B19="","",IF(LEFT(B19,4)="Plan",IF(E19&lt;=12,0.10,0),IF(LEFT(B19,7)="Cartera",IF(E19&lt;=12,0.06,IF(E19&lt;=24,0.03,0)),"tarifa asesora")))</f>
        <v/>
      </c>
      <c r="G19" s="12">
        <f>IF(OR(D19="",F19=""),"",IF(ISNUMBER(F19),D19*F19,""))</f>
        <v/>
      </c>
    </row>
    <row r="20">
      <c r="C20" s="6" t="n"/>
      <c r="D20" s="12" t="n"/>
      <c r="E20">
        <f>IF(OR(C20="",$B$2=""),"",DATEDIF(C20,EOMONTH($B$2,0),"m")+1)</f>
        <v/>
      </c>
      <c r="F20" s="8">
        <f>IF(B20="","",IF(LEFT(B20,4)="Plan",IF(E20&lt;=12,0.10,0),IF(LEFT(B20,7)="Cartera",IF(E20&lt;=12,0.06,IF(E20&lt;=24,0.03,0)),"tarifa asesora")))</f>
        <v/>
      </c>
      <c r="G20" s="12">
        <f>IF(OR(D20="",F20=""),"",IF(ISNUMBER(F20),D20*F20,""))</f>
        <v/>
      </c>
    </row>
    <row r="21">
      <c r="C21" s="6" t="n"/>
      <c r="D21" s="12" t="n"/>
      <c r="E21">
        <f>IF(OR(C21="",$B$2=""),"",DATEDIF(C21,EOMONTH($B$2,0),"m")+1)</f>
        <v/>
      </c>
      <c r="F21" s="8">
        <f>IF(B21="","",IF(LEFT(B21,4)="Plan",IF(E21&lt;=12,0.10,0),IF(LEFT(B21,7)="Cartera",IF(E21&lt;=12,0.06,IF(E21&lt;=24,0.03,0)),"tarifa asesora")))</f>
        <v/>
      </c>
      <c r="G21" s="12">
        <f>IF(OR(D21="",F21=""),"",IF(ISNUMBER(F21),D21*F21,""))</f>
        <v/>
      </c>
    </row>
    <row r="22">
      <c r="C22" s="6" t="n"/>
      <c r="D22" s="12" t="n"/>
      <c r="E22">
        <f>IF(OR(C22="",$B$2=""),"",DATEDIF(C22,EOMONTH($B$2,0),"m")+1)</f>
        <v/>
      </c>
      <c r="F22" s="8">
        <f>IF(B22="","",IF(LEFT(B22,4)="Plan",IF(E22&lt;=12,0.10,0),IF(LEFT(B22,7)="Cartera",IF(E22&lt;=12,0.06,IF(E22&lt;=24,0.03,0)),"tarifa asesora")))</f>
        <v/>
      </c>
      <c r="G22" s="12">
        <f>IF(OR(D22="",F22=""),"",IF(ISNUMBER(F22),D22*F22,""))</f>
        <v/>
      </c>
    </row>
    <row r="23">
      <c r="C23" s="6" t="n"/>
      <c r="D23" s="12" t="n"/>
      <c r="E23">
        <f>IF(OR(C23="",$B$2=""),"",DATEDIF(C23,EOMONTH($B$2,0),"m")+1)</f>
        <v/>
      </c>
      <c r="F23" s="8">
        <f>IF(B23="","",IF(LEFT(B23,4)="Plan",IF(E23&lt;=12,0.10,0),IF(LEFT(B23,7)="Cartera",IF(E23&lt;=12,0.06,IF(E23&lt;=24,0.03,0)),"tarifa asesora")))</f>
        <v/>
      </c>
      <c r="G23" s="12">
        <f>IF(OR(D23="",F23=""),"",IF(ISNUMBER(F23),D23*F23,""))</f>
        <v/>
      </c>
    </row>
    <row r="24">
      <c r="C24" s="6" t="n"/>
      <c r="D24" s="12" t="n"/>
      <c r="E24">
        <f>IF(OR(C24="",$B$2=""),"",DATEDIF(C24,EOMONTH($B$2,0),"m")+1)</f>
        <v/>
      </c>
      <c r="F24" s="8">
        <f>IF(B24="","",IF(LEFT(B24,4)="Plan",IF(E24&lt;=12,0.10,0),IF(LEFT(B24,7)="Cartera",IF(E24&lt;=12,0.06,IF(E24&lt;=24,0.03,0)),"tarifa asesora")))</f>
        <v/>
      </c>
      <c r="G24" s="12">
        <f>IF(OR(D24="",F24=""),"",IF(ISNUMBER(F24),D24*F24,""))</f>
        <v/>
      </c>
    </row>
    <row r="25">
      <c r="C25" s="6" t="n"/>
      <c r="D25" s="12" t="n"/>
      <c r="E25">
        <f>IF(OR(C25="",$B$2=""),"",DATEDIF(C25,EOMONTH($B$2,0),"m")+1)</f>
        <v/>
      </c>
      <c r="F25" s="8">
        <f>IF(B25="","",IF(LEFT(B25,4)="Plan",IF(E25&lt;=12,0.10,0),IF(LEFT(B25,7)="Cartera",IF(E25&lt;=12,0.06,IF(E25&lt;=24,0.03,0)),"tarifa asesora")))</f>
        <v/>
      </c>
      <c r="G25" s="12">
        <f>IF(OR(D25="",F25=""),"",IF(ISNUMBER(F25),D25*F25,""))</f>
        <v/>
      </c>
    </row>
    <row r="26">
      <c r="C26" s="6" t="n"/>
      <c r="D26" s="12" t="n"/>
      <c r="E26">
        <f>IF(OR(C26="",$B$2=""),"",DATEDIF(C26,EOMONTH($B$2,0),"m")+1)</f>
        <v/>
      </c>
      <c r="F26" s="8">
        <f>IF(B26="","",IF(LEFT(B26,4)="Plan",IF(E26&lt;=12,0.10,0),IF(LEFT(B26,7)="Cartera",IF(E26&lt;=12,0.06,IF(E26&lt;=24,0.03,0)),"tarifa asesora")))</f>
        <v/>
      </c>
      <c r="G26" s="12">
        <f>IF(OR(D26="",F26=""),"",IF(ISNUMBER(F26),D26*F26,""))</f>
        <v/>
      </c>
    </row>
    <row r="27">
      <c r="C27" s="6" t="n"/>
      <c r="D27" s="12" t="n"/>
      <c r="E27">
        <f>IF(OR(C27="",$B$2=""),"",DATEDIF(C27,EOMONTH($B$2,0),"m")+1)</f>
        <v/>
      </c>
      <c r="F27" s="8">
        <f>IF(B27="","",IF(LEFT(B27,4)="Plan",IF(E27&lt;=12,0.10,0),IF(LEFT(B27,7)="Cartera",IF(E27&lt;=12,0.06,IF(E27&lt;=24,0.03,0)),"tarifa asesora")))</f>
        <v/>
      </c>
      <c r="G27" s="12">
        <f>IF(OR(D27="",F27=""),"",IF(ISNUMBER(F27),D27*F27,""))</f>
        <v/>
      </c>
    </row>
    <row r="28">
      <c r="C28" s="6" t="n"/>
      <c r="D28" s="12" t="n"/>
      <c r="E28">
        <f>IF(OR(C28="",$B$2=""),"",DATEDIF(C28,EOMONTH($B$2,0),"m")+1)</f>
        <v/>
      </c>
      <c r="F28" s="8">
        <f>IF(B28="","",IF(LEFT(B28,4)="Plan",IF(E28&lt;=12,0.10,0),IF(LEFT(B28,7)="Cartera",IF(E28&lt;=12,0.06,IF(E28&lt;=24,0.03,0)),"tarifa asesora")))</f>
        <v/>
      </c>
      <c r="G28" s="12">
        <f>IF(OR(D28="",F28=""),"",IF(ISNUMBER(F28),D28*F28,""))</f>
        <v/>
      </c>
    </row>
    <row r="29">
      <c r="C29" s="6" t="n"/>
      <c r="D29" s="12" t="n"/>
      <c r="E29">
        <f>IF(OR(C29="",$B$2=""),"",DATEDIF(C29,EOMONTH($B$2,0),"m")+1)</f>
        <v/>
      </c>
      <c r="F29" s="8">
        <f>IF(B29="","",IF(LEFT(B29,4)="Plan",IF(E29&lt;=12,0.10,0),IF(LEFT(B29,7)="Cartera",IF(E29&lt;=12,0.06,IF(E29&lt;=24,0.03,0)),"tarifa asesora")))</f>
        <v/>
      </c>
      <c r="G29" s="12">
        <f>IF(OR(D29="",F29=""),"",IF(ISNUMBER(F29),D29*F29,""))</f>
        <v/>
      </c>
    </row>
    <row r="30">
      <c r="C30" s="6" t="n"/>
      <c r="D30" s="12" t="n"/>
      <c r="E30">
        <f>IF(OR(C30="",$B$2=""),"",DATEDIF(C30,EOMONTH($B$2,0),"m")+1)</f>
        <v/>
      </c>
      <c r="F30" s="8">
        <f>IF(B30="","",IF(LEFT(B30,4)="Plan",IF(E30&lt;=12,0.10,0),IF(LEFT(B30,7)="Cartera",IF(E30&lt;=12,0.06,IF(E30&lt;=24,0.03,0)),"tarifa asesora")))</f>
        <v/>
      </c>
      <c r="G30" s="12">
        <f>IF(OR(D30="",F30=""),"",IF(ISNUMBER(F30),D30*F30,""))</f>
        <v/>
      </c>
    </row>
    <row r="31">
      <c r="C31" s="6" t="n"/>
      <c r="D31" s="12" t="n"/>
      <c r="E31">
        <f>IF(OR(C31="",$B$2=""),"",DATEDIF(C31,EOMONTH($B$2,0),"m")+1)</f>
        <v/>
      </c>
      <c r="F31" s="8">
        <f>IF(B31="","",IF(LEFT(B31,4)="Plan",IF(E31&lt;=12,0.10,0),IF(LEFT(B31,7)="Cartera",IF(E31&lt;=12,0.06,IF(E31&lt;=24,0.03,0)),"tarifa asesora")))</f>
        <v/>
      </c>
      <c r="G31" s="12">
        <f>IF(OR(D31="",F31=""),"",IF(ISNUMBER(F31),D31*F31,""))</f>
        <v/>
      </c>
    </row>
    <row r="32">
      <c r="C32" s="6" t="n"/>
      <c r="D32" s="12" t="n"/>
      <c r="E32">
        <f>IF(OR(C32="",$B$2=""),"",DATEDIF(C32,EOMONTH($B$2,0),"m")+1)</f>
        <v/>
      </c>
      <c r="F32" s="8">
        <f>IF(B32="","",IF(LEFT(B32,4)="Plan",IF(E32&lt;=12,0.10,0),IF(LEFT(B32,7)="Cartera",IF(E32&lt;=12,0.06,IF(E32&lt;=24,0.03,0)),"tarifa asesora")))</f>
        <v/>
      </c>
      <c r="G32" s="12">
        <f>IF(OR(D32="",F32=""),"",IF(ISNUMBER(F32),D32*F32,""))</f>
        <v/>
      </c>
    </row>
    <row r="33">
      <c r="C33" s="6" t="n"/>
      <c r="D33" s="12" t="n"/>
      <c r="E33">
        <f>IF(OR(C33="",$B$2=""),"",DATEDIF(C33,EOMONTH($B$2,0),"m")+1)</f>
        <v/>
      </c>
      <c r="F33" s="8">
        <f>IF(B33="","",IF(LEFT(B33,4)="Plan",IF(E33&lt;=12,0.10,0),IF(LEFT(B33,7)="Cartera",IF(E33&lt;=12,0.06,IF(E33&lt;=24,0.03,0)),"tarifa asesora")))</f>
        <v/>
      </c>
      <c r="G33" s="12">
        <f>IF(OR(D33="",F33=""),"",IF(ISNUMBER(F33),D33*F33,""))</f>
        <v/>
      </c>
    </row>
    <row r="34">
      <c r="C34" s="6" t="n"/>
      <c r="D34" s="12" t="n"/>
      <c r="E34">
        <f>IF(OR(C34="",$B$2=""),"",DATEDIF(C34,EOMONTH($B$2,0),"m")+1)</f>
        <v/>
      </c>
      <c r="F34" s="8">
        <f>IF(B34="","",IF(LEFT(B34,4)="Plan",IF(E34&lt;=12,0.10,0),IF(LEFT(B34,7)="Cartera",IF(E34&lt;=12,0.06,IF(E34&lt;=24,0.03,0)),"tarifa asesora")))</f>
        <v/>
      </c>
      <c r="G34" s="12">
        <f>IF(OR(D34="",F34=""),"",IF(ISNUMBER(F34),D34*F34,""))</f>
        <v/>
      </c>
    </row>
    <row r="35">
      <c r="C35" s="6" t="n"/>
      <c r="D35" s="12" t="n"/>
      <c r="E35">
        <f>IF(OR(C35="",$B$2=""),"",DATEDIF(C35,EOMONTH($B$2,0),"m")+1)</f>
        <v/>
      </c>
      <c r="F35" s="8">
        <f>IF(B35="","",IF(LEFT(B35,4)="Plan",IF(E35&lt;=12,0.10,0),IF(LEFT(B35,7)="Cartera",IF(E35&lt;=12,0.06,IF(E35&lt;=24,0.03,0)),"tarifa asesora")))</f>
        <v/>
      </c>
      <c r="G35" s="12">
        <f>IF(OR(D35="",F35=""),"",IF(ISNUMBER(F35),D35*F35,""))</f>
        <v/>
      </c>
    </row>
    <row r="36">
      <c r="C36" s="6" t="n"/>
      <c r="D36" s="12" t="n"/>
      <c r="E36">
        <f>IF(OR(C36="",$B$2=""),"",DATEDIF(C36,EOMONTH($B$2,0),"m")+1)</f>
        <v/>
      </c>
      <c r="F36" s="8">
        <f>IF(B36="","",IF(LEFT(B36,4)="Plan",IF(E36&lt;=12,0.10,0),IF(LEFT(B36,7)="Cartera",IF(E36&lt;=12,0.06,IF(E36&lt;=24,0.03,0)),"tarifa asesora")))</f>
        <v/>
      </c>
      <c r="G36" s="12">
        <f>IF(OR(D36="",F36=""),"",IF(ISNUMBER(F36),D36*F36,""))</f>
        <v/>
      </c>
    </row>
    <row r="37">
      <c r="C37" s="6" t="n"/>
      <c r="D37" s="12" t="n"/>
      <c r="E37">
        <f>IF(OR(C37="",$B$2=""),"",DATEDIF(C37,EOMONTH($B$2,0),"m")+1)</f>
        <v/>
      </c>
      <c r="F37" s="8">
        <f>IF(B37="","",IF(LEFT(B37,4)="Plan",IF(E37&lt;=12,0.10,0),IF(LEFT(B37,7)="Cartera",IF(E37&lt;=12,0.06,IF(E37&lt;=24,0.03,0)),"tarifa asesora")))</f>
        <v/>
      </c>
      <c r="G37" s="12">
        <f>IF(OR(D37="",F37=""),"",IF(ISNUMBER(F37),D37*F37,""))</f>
        <v/>
      </c>
    </row>
    <row r="38">
      <c r="C38" s="6" t="n"/>
      <c r="D38" s="12" t="n"/>
      <c r="E38">
        <f>IF(OR(C38="",$B$2=""),"",DATEDIF(C38,EOMONTH($B$2,0),"m")+1)</f>
        <v/>
      </c>
      <c r="F38" s="8">
        <f>IF(B38="","",IF(LEFT(B38,4)="Plan",IF(E38&lt;=12,0.10,0),IF(LEFT(B38,7)="Cartera",IF(E38&lt;=12,0.06,IF(E38&lt;=24,0.03,0)),"tarifa asesora")))</f>
        <v/>
      </c>
      <c r="G38" s="12">
        <f>IF(OR(D38="",F38=""),"",IF(ISNUMBER(F38),D38*F38,""))</f>
        <v/>
      </c>
    </row>
    <row r="39">
      <c r="C39" s="6" t="n"/>
      <c r="D39" s="12" t="n"/>
      <c r="E39">
        <f>IF(OR(C39="",$B$2=""),"",DATEDIF(C39,EOMONTH($B$2,0),"m")+1)</f>
        <v/>
      </c>
      <c r="F39" s="8">
        <f>IF(B39="","",IF(LEFT(B39,4)="Plan",IF(E39&lt;=12,0.10,0),IF(LEFT(B39,7)="Cartera",IF(E39&lt;=12,0.06,IF(E39&lt;=24,0.03,0)),"tarifa asesora")))</f>
        <v/>
      </c>
      <c r="G39" s="12">
        <f>IF(OR(D39="",F39=""),"",IF(ISNUMBER(F39),D39*F39,""))</f>
        <v/>
      </c>
    </row>
    <row r="40">
      <c r="C40" s="6" t="n"/>
      <c r="D40" s="12" t="n"/>
      <c r="E40">
        <f>IF(OR(C40="",$B$2=""),"",DATEDIF(C40,EOMONTH($B$2,0),"m")+1)</f>
        <v/>
      </c>
      <c r="F40" s="8">
        <f>IF(B40="","",IF(LEFT(B40,4)="Plan",IF(E40&lt;=12,0.10,0),IF(LEFT(B40,7)="Cartera",IF(E40&lt;=12,0.06,IF(E40&lt;=24,0.03,0)),"tarifa asesora")))</f>
        <v/>
      </c>
      <c r="G40" s="12">
        <f>IF(OR(D40="",F40=""),"",IF(ISNUMBER(F40),D40*F40,""))</f>
        <v/>
      </c>
    </row>
    <row r="41">
      <c r="C41" s="6" t="n"/>
      <c r="D41" s="12" t="n"/>
      <c r="E41">
        <f>IF(OR(C41="",$B$2=""),"",DATEDIF(C41,EOMONTH($B$2,0),"m")+1)</f>
        <v/>
      </c>
      <c r="F41" s="8">
        <f>IF(B41="","",IF(LEFT(B41,4)="Plan",IF(E41&lt;=12,0.10,0),IF(LEFT(B41,7)="Cartera",IF(E41&lt;=12,0.06,IF(E41&lt;=24,0.03,0)),"tarifa asesora")))</f>
        <v/>
      </c>
      <c r="G41" s="12">
        <f>IF(OR(D41="",F41=""),"",IF(ISNUMBER(F41),D41*F41,""))</f>
        <v/>
      </c>
    </row>
    <row r="42">
      <c r="C42" s="6" t="n"/>
      <c r="D42" s="12" t="n"/>
      <c r="E42">
        <f>IF(OR(C42="",$B$2=""),"",DATEDIF(C42,EOMONTH($B$2,0),"m")+1)</f>
        <v/>
      </c>
      <c r="F42" s="8">
        <f>IF(B42="","",IF(LEFT(B42,4)="Plan",IF(E42&lt;=12,0.10,0),IF(LEFT(B42,7)="Cartera",IF(E42&lt;=12,0.06,IF(E42&lt;=24,0.03,0)),"tarifa asesora")))</f>
        <v/>
      </c>
      <c r="G42" s="12">
        <f>IF(OR(D42="",F42=""),"",IF(ISNUMBER(F42),D42*F42,""))</f>
        <v/>
      </c>
    </row>
    <row r="43">
      <c r="C43" s="6" t="n"/>
      <c r="D43" s="12" t="n"/>
      <c r="E43">
        <f>IF(OR(C43="",$B$2=""),"",DATEDIF(C43,EOMONTH($B$2,0),"m")+1)</f>
        <v/>
      </c>
      <c r="F43" s="8">
        <f>IF(B43="","",IF(LEFT(B43,4)="Plan",IF(E43&lt;=12,0.10,0),IF(LEFT(B43,7)="Cartera",IF(E43&lt;=12,0.06,IF(E43&lt;=24,0.03,0)),"tarifa asesora")))</f>
        <v/>
      </c>
      <c r="G43" s="12">
        <f>IF(OR(D43="",F43=""),"",IF(ISNUMBER(F43),D43*F43,""))</f>
        <v/>
      </c>
    </row>
    <row r="44">
      <c r="C44" s="6" t="n"/>
      <c r="D44" s="12" t="n"/>
      <c r="E44">
        <f>IF(OR(C44="",$B$2=""),"",DATEDIF(C44,EOMONTH($B$2,0),"m")+1)</f>
        <v/>
      </c>
      <c r="F44" s="8">
        <f>IF(B44="","",IF(LEFT(B44,4)="Plan",IF(E44&lt;=12,0.10,0),IF(LEFT(B44,7)="Cartera",IF(E44&lt;=12,0.06,IF(E44&lt;=24,0.03,0)),"tarifa asesora")))</f>
        <v/>
      </c>
      <c r="G44" s="12">
        <f>IF(OR(D44="",F44=""),"",IF(ISNUMBER(F44),D44*F44,""))</f>
        <v/>
      </c>
    </row>
    <row r="45">
      <c r="C45" s="6" t="n"/>
      <c r="D45" s="12" t="n"/>
      <c r="E45">
        <f>IF(OR(C45="",$B$2=""),"",DATEDIF(C45,EOMONTH($B$2,0),"m")+1)</f>
        <v/>
      </c>
      <c r="F45" s="8">
        <f>IF(B45="","",IF(LEFT(B45,4)="Plan",IF(E45&lt;=12,0.10,0),IF(LEFT(B45,7)="Cartera",IF(E45&lt;=12,0.06,IF(E45&lt;=24,0.03,0)),"tarifa asesora")))</f>
        <v/>
      </c>
      <c r="G45" s="12">
        <f>IF(OR(D45="",F45=""),"",IF(ISNUMBER(F45),D45*F45,""))</f>
        <v/>
      </c>
    </row>
    <row r="46">
      <c r="C46" s="6" t="n"/>
      <c r="D46" s="12" t="n"/>
      <c r="E46">
        <f>IF(OR(C46="",$B$2=""),"",DATEDIF(C46,EOMONTH($B$2,0),"m")+1)</f>
        <v/>
      </c>
      <c r="F46" s="8">
        <f>IF(B46="","",IF(LEFT(B46,4)="Plan",IF(E46&lt;=12,0.10,0),IF(LEFT(B46,7)="Cartera",IF(E46&lt;=12,0.06,IF(E46&lt;=24,0.03,0)),"tarifa asesora")))</f>
        <v/>
      </c>
      <c r="G46" s="12">
        <f>IF(OR(D46="",F46=""),"",IF(ISNUMBER(F46),D46*F46,""))</f>
        <v/>
      </c>
    </row>
    <row r="47">
      <c r="C47" s="6" t="n"/>
      <c r="D47" s="12" t="n"/>
      <c r="E47">
        <f>IF(OR(C47="",$B$2=""),"",DATEDIF(C47,EOMONTH($B$2,0),"m")+1)</f>
        <v/>
      </c>
      <c r="F47" s="8">
        <f>IF(B47="","",IF(LEFT(B47,4)="Plan",IF(E47&lt;=12,0.10,0),IF(LEFT(B47,7)="Cartera",IF(E47&lt;=12,0.06,IF(E47&lt;=24,0.03,0)),"tarifa asesora")))</f>
        <v/>
      </c>
      <c r="G47" s="12">
        <f>IF(OR(D47="",F47=""),"",IF(ISNUMBER(F47),D47*F47,""))</f>
        <v/>
      </c>
    </row>
    <row r="48">
      <c r="C48" s="6" t="n"/>
      <c r="D48" s="12" t="n"/>
      <c r="E48">
        <f>IF(OR(C48="",$B$2=""),"",DATEDIF(C48,EOMONTH($B$2,0),"m")+1)</f>
        <v/>
      </c>
      <c r="F48" s="8">
        <f>IF(B48="","",IF(LEFT(B48,4)="Plan",IF(E48&lt;=12,0.10,0),IF(LEFT(B48,7)="Cartera",IF(E48&lt;=12,0.06,IF(E48&lt;=24,0.03,0)),"tarifa asesora")))</f>
        <v/>
      </c>
      <c r="G48" s="12">
        <f>IF(OR(D48="",F48=""),"",IF(ISNUMBER(F48),D48*F48,""))</f>
        <v/>
      </c>
    </row>
    <row r="49">
      <c r="C49" s="6" t="n"/>
      <c r="D49" s="12" t="n"/>
      <c r="E49">
        <f>IF(OR(C49="",$B$2=""),"",DATEDIF(C49,EOMONTH($B$2,0),"m")+1)</f>
        <v/>
      </c>
      <c r="F49" s="8">
        <f>IF(B49="","",IF(LEFT(B49,4)="Plan",IF(E49&lt;=12,0.10,0),IF(LEFT(B49,7)="Cartera",IF(E49&lt;=12,0.06,IF(E49&lt;=24,0.03,0)),"tarifa asesora")))</f>
        <v/>
      </c>
      <c r="G49" s="12">
        <f>IF(OR(D49="",F49=""),"",IF(ISNUMBER(F49),D49*F49,""))</f>
        <v/>
      </c>
    </row>
    <row r="50">
      <c r="C50" s="6" t="n"/>
      <c r="D50" s="12" t="n"/>
      <c r="E50">
        <f>IF(OR(C50="",$B$2=""),"",DATEDIF(C50,EOMONTH($B$2,0),"m")+1)</f>
        <v/>
      </c>
      <c r="F50" s="8">
        <f>IF(B50="","",IF(LEFT(B50,4)="Plan",IF(E50&lt;=12,0.10,0),IF(LEFT(B50,7)="Cartera",IF(E50&lt;=12,0.06,IF(E50&lt;=24,0.03,0)),"tarifa asesora")))</f>
        <v/>
      </c>
      <c r="G50" s="12">
        <f>IF(OR(D50="",F50=""),"",IF(ISNUMBER(F50),D50*F50,""))</f>
        <v/>
      </c>
    </row>
    <row r="51">
      <c r="C51" s="6" t="n"/>
      <c r="D51" s="12" t="n"/>
      <c r="E51">
        <f>IF(OR(C51="",$B$2=""),"",DATEDIF(C51,EOMONTH($B$2,0),"m")+1)</f>
        <v/>
      </c>
      <c r="F51" s="8">
        <f>IF(B51="","",IF(LEFT(B51,4)="Plan",IF(E51&lt;=12,0.10,0),IF(LEFT(B51,7)="Cartera",IF(E51&lt;=12,0.06,IF(E51&lt;=24,0.03,0)),"tarifa asesora")))</f>
        <v/>
      </c>
      <c r="G51" s="12">
        <f>IF(OR(D51="",F51=""),"",IF(ISNUMBER(F51),D51*F51,""))</f>
        <v/>
      </c>
    </row>
    <row r="52">
      <c r="C52" s="6" t="n"/>
      <c r="D52" s="12" t="n"/>
      <c r="E52">
        <f>IF(OR(C52="",$B$2=""),"",DATEDIF(C52,EOMONTH($B$2,0),"m")+1)</f>
        <v/>
      </c>
      <c r="F52" s="8">
        <f>IF(B52="","",IF(LEFT(B52,4)="Plan",IF(E52&lt;=12,0.10,0),IF(LEFT(B52,7)="Cartera",IF(E52&lt;=12,0.06,IF(E52&lt;=24,0.03,0)),"tarifa asesora")))</f>
        <v/>
      </c>
      <c r="G52" s="12">
        <f>IF(OR(D52="",F52=""),"",IF(ISNUMBER(F52),D52*F52,""))</f>
        <v/>
      </c>
    </row>
    <row r="53">
      <c r="C53" s="6" t="n"/>
      <c r="D53" s="12" t="n"/>
      <c r="E53">
        <f>IF(OR(C53="",$B$2=""),"",DATEDIF(C53,EOMONTH($B$2,0),"m")+1)</f>
        <v/>
      </c>
      <c r="F53" s="8">
        <f>IF(B53="","",IF(LEFT(B53,4)="Plan",IF(E53&lt;=12,0.10,0),IF(LEFT(B53,7)="Cartera",IF(E53&lt;=12,0.06,IF(E53&lt;=24,0.03,0)),"tarifa asesora")))</f>
        <v/>
      </c>
      <c r="G53" s="12">
        <f>IF(OR(D53="",F53=""),"",IF(ISNUMBER(F53),D53*F53,""))</f>
        <v/>
      </c>
    </row>
    <row r="54">
      <c r="C54" s="6" t="n"/>
      <c r="D54" s="12" t="n"/>
      <c r="E54">
        <f>IF(OR(C54="",$B$2=""),"",DATEDIF(C54,EOMONTH($B$2,0),"m")+1)</f>
        <v/>
      </c>
      <c r="F54" s="8">
        <f>IF(B54="","",IF(LEFT(B54,4)="Plan",IF(E54&lt;=12,0.10,0),IF(LEFT(B54,7)="Cartera",IF(E54&lt;=12,0.06,IF(E54&lt;=24,0.03,0)),"tarifa asesora")))</f>
        <v/>
      </c>
      <c r="G54" s="12">
        <f>IF(OR(D54="",F54=""),"",IF(ISNUMBER(F54),D54*F54,""))</f>
        <v/>
      </c>
    </row>
    <row r="55">
      <c r="C55" s="6" t="n"/>
      <c r="D55" s="12" t="n"/>
      <c r="E55">
        <f>IF(OR(C55="",$B$2=""),"",DATEDIF(C55,EOMONTH($B$2,0),"m")+1)</f>
        <v/>
      </c>
      <c r="F55" s="8">
        <f>IF(B55="","",IF(LEFT(B55,4)="Plan",IF(E55&lt;=12,0.10,0),IF(LEFT(B55,7)="Cartera",IF(E55&lt;=12,0.06,IF(E55&lt;=24,0.03,0)),"tarifa asesora")))</f>
        <v/>
      </c>
      <c r="G55" s="12">
        <f>IF(OR(D55="",F55=""),"",IF(ISNUMBER(F55),D55*F55,""))</f>
        <v/>
      </c>
    </row>
    <row r="56">
      <c r="C56" s="6" t="n"/>
      <c r="D56" s="12" t="n"/>
      <c r="E56">
        <f>IF(OR(C56="",$B$2=""),"",DATEDIF(C56,EOMONTH($B$2,0),"m")+1)</f>
        <v/>
      </c>
      <c r="F56" s="8">
        <f>IF(B56="","",IF(LEFT(B56,4)="Plan",IF(E56&lt;=12,0.10,0),IF(LEFT(B56,7)="Cartera",IF(E56&lt;=12,0.06,IF(E56&lt;=24,0.03,0)),"tarifa asesora")))</f>
        <v/>
      </c>
      <c r="G56" s="12">
        <f>IF(OR(D56="",F56=""),"",IF(ISNUMBER(F56),D56*F56,""))</f>
        <v/>
      </c>
    </row>
    <row r="57">
      <c r="C57" s="6" t="n"/>
      <c r="D57" s="12" t="n"/>
      <c r="E57">
        <f>IF(OR(C57="",$B$2=""),"",DATEDIF(C57,EOMONTH($B$2,0),"m")+1)</f>
        <v/>
      </c>
      <c r="F57" s="8">
        <f>IF(B57="","",IF(LEFT(B57,4)="Plan",IF(E57&lt;=12,0.10,0),IF(LEFT(B57,7)="Cartera",IF(E57&lt;=12,0.06,IF(E57&lt;=24,0.03,0)),"tarifa asesora")))</f>
        <v/>
      </c>
      <c r="G57" s="12">
        <f>IF(OR(D57="",F57=""),"",IF(ISNUMBER(F57),D57*F57,""))</f>
        <v/>
      </c>
    </row>
    <row r="58">
      <c r="C58" s="6" t="n"/>
      <c r="D58" s="12" t="n"/>
      <c r="E58">
        <f>IF(OR(C58="",$B$2=""),"",DATEDIF(C58,EOMONTH($B$2,0),"m")+1)</f>
        <v/>
      </c>
      <c r="F58" s="8">
        <f>IF(B58="","",IF(LEFT(B58,4)="Plan",IF(E58&lt;=12,0.10,0),IF(LEFT(B58,7)="Cartera",IF(E58&lt;=12,0.06,IF(E58&lt;=24,0.03,0)),"tarifa asesora")))</f>
        <v/>
      </c>
      <c r="G58" s="12">
        <f>IF(OR(D58="",F58=""),"",IF(ISNUMBER(F58),D58*F58,""))</f>
        <v/>
      </c>
    </row>
    <row r="59">
      <c r="C59" s="6" t="n"/>
      <c r="D59" s="12" t="n"/>
      <c r="E59">
        <f>IF(OR(C59="",$B$2=""),"",DATEDIF(C59,EOMONTH($B$2,0),"m")+1)</f>
        <v/>
      </c>
      <c r="F59" s="8">
        <f>IF(B59="","",IF(LEFT(B59,4)="Plan",IF(E59&lt;=12,0.10,0),IF(LEFT(B59,7)="Cartera",IF(E59&lt;=12,0.06,IF(E59&lt;=24,0.03,0)),"tarifa asesora")))</f>
        <v/>
      </c>
      <c r="G59" s="12">
        <f>IF(OR(D59="",F59=""),"",IF(ISNUMBER(F59),D59*F59,""))</f>
        <v/>
      </c>
    </row>
    <row r="60">
      <c r="C60" s="6" t="n"/>
      <c r="D60" s="12" t="n"/>
      <c r="E60">
        <f>IF(OR(C60="",$B$2=""),"",DATEDIF(C60,EOMONTH($B$2,0),"m")+1)</f>
        <v/>
      </c>
      <c r="F60" s="8">
        <f>IF(B60="","",IF(LEFT(B60,4)="Plan",IF(E60&lt;=12,0.10,0),IF(LEFT(B60,7)="Cartera",IF(E60&lt;=12,0.06,IF(E60&lt;=24,0.03,0)),"tarifa asesora")))</f>
        <v/>
      </c>
      <c r="G60" s="12">
        <f>IF(OR(D60="",F60=""),"",IF(ISNUMBER(F60),D60*F60,""))</f>
        <v/>
      </c>
    </row>
    <row r="61">
      <c r="C61" s="6" t="n"/>
      <c r="D61" s="12" t="n"/>
      <c r="E61">
        <f>IF(OR(C61="",$B$2=""),"",DATEDIF(C61,EOMONTH($B$2,0),"m")+1)</f>
        <v/>
      </c>
      <c r="F61" s="8">
        <f>IF(B61="","",IF(LEFT(B61,4)="Plan",IF(E61&lt;=12,0.10,0),IF(LEFT(B61,7)="Cartera",IF(E61&lt;=12,0.06,IF(E61&lt;=24,0.03,0)),"tarifa asesora")))</f>
        <v/>
      </c>
      <c r="G61" s="12">
        <f>IF(OR(D61="",F61=""),"",IF(ISNUMBER(F61),D61*F61,""))</f>
        <v/>
      </c>
    </row>
    <row r="62">
      <c r="C62" s="6" t="n"/>
      <c r="D62" s="12" t="n"/>
      <c r="E62">
        <f>IF(OR(C62="",$B$2=""),"",DATEDIF(C62,EOMONTH($B$2,0),"m")+1)</f>
        <v/>
      </c>
      <c r="F62" s="8">
        <f>IF(B62="","",IF(LEFT(B62,4)="Plan",IF(E62&lt;=12,0.10,0),IF(LEFT(B62,7)="Cartera",IF(E62&lt;=12,0.06,IF(E62&lt;=24,0.03,0)),"tarifa asesora")))</f>
        <v/>
      </c>
      <c r="G62" s="12">
        <f>IF(OR(D62="",F62=""),"",IF(ISNUMBER(F62),D62*F62,""))</f>
        <v/>
      </c>
    </row>
    <row r="63">
      <c r="C63" s="6" t="n"/>
      <c r="D63" s="12" t="n"/>
      <c r="E63">
        <f>IF(OR(C63="",$B$2=""),"",DATEDIF(C63,EOMONTH($B$2,0),"m")+1)</f>
        <v/>
      </c>
      <c r="F63" s="8">
        <f>IF(B63="","",IF(LEFT(B63,4)="Plan",IF(E63&lt;=12,0.10,0),IF(LEFT(B63,7)="Cartera",IF(E63&lt;=12,0.06,IF(E63&lt;=24,0.03,0)),"tarifa asesora")))</f>
        <v/>
      </c>
      <c r="G63" s="12">
        <f>IF(OR(D63="",F63=""),"",IF(ISNUMBER(F63),D63*F63,""))</f>
        <v/>
      </c>
    </row>
    <row r="64">
      <c r="C64" s="6" t="n"/>
      <c r="D64" s="12" t="n"/>
      <c r="E64">
        <f>IF(OR(C64="",$B$2=""),"",DATEDIF(C64,EOMONTH($B$2,0),"m")+1)</f>
        <v/>
      </c>
      <c r="F64" s="8">
        <f>IF(B64="","",IF(LEFT(B64,4)="Plan",IF(E64&lt;=12,0.10,0),IF(LEFT(B64,7)="Cartera",IF(E64&lt;=12,0.06,IF(E64&lt;=24,0.03,0)),"tarifa asesora")))</f>
        <v/>
      </c>
      <c r="G64" s="12">
        <f>IF(OR(D64="",F64=""),"",IF(ISNUMBER(F64),D64*F64,""))</f>
        <v/>
      </c>
    </row>
    <row r="65">
      <c r="C65" s="6" t="n"/>
      <c r="D65" s="12" t="n"/>
      <c r="E65">
        <f>IF(OR(C65="",$B$2=""),"",DATEDIF(C65,EOMONTH($B$2,0),"m")+1)</f>
        <v/>
      </c>
      <c r="F65" s="8">
        <f>IF(B65="","",IF(LEFT(B65,4)="Plan",IF(E65&lt;=12,0.10,0),IF(LEFT(B65,7)="Cartera",IF(E65&lt;=12,0.06,IF(E65&lt;=24,0.03,0)),"tarifa asesora")))</f>
        <v/>
      </c>
      <c r="G65" s="12">
        <f>IF(OR(D65="",F65=""),"",IF(ISNUMBER(F65),D65*F65,""))</f>
        <v/>
      </c>
    </row>
    <row r="66">
      <c r="C66" s="6" t="n"/>
      <c r="D66" s="12" t="n"/>
      <c r="E66">
        <f>IF(OR(C66="",$B$2=""),"",DATEDIF(C66,EOMONTH($B$2,0),"m")+1)</f>
        <v/>
      </c>
      <c r="F66" s="8">
        <f>IF(B66="","",IF(LEFT(B66,4)="Plan",IF(E66&lt;=12,0.10,0),IF(LEFT(B66,7)="Cartera",IF(E66&lt;=12,0.06,IF(E66&lt;=24,0.03,0)),"tarifa asesora")))</f>
        <v/>
      </c>
      <c r="G66" s="12">
        <f>IF(OR(D66="",F66=""),"",IF(ISNUMBER(F66),D66*F66,""))</f>
        <v/>
      </c>
    </row>
    <row r="67">
      <c r="C67" s="6" t="n"/>
      <c r="D67" s="12" t="n"/>
      <c r="E67">
        <f>IF(OR(C67="",$B$2=""),"",DATEDIF(C67,EOMONTH($B$2,0),"m")+1)</f>
        <v/>
      </c>
      <c r="F67" s="8">
        <f>IF(B67="","",IF(LEFT(B67,4)="Plan",IF(E67&lt;=12,0.10,0),IF(LEFT(B67,7)="Cartera",IF(E67&lt;=12,0.06,IF(E67&lt;=24,0.03,0)),"tarifa asesora")))</f>
        <v/>
      </c>
      <c r="G67" s="12">
        <f>IF(OR(D67="",F67=""),"",IF(ISNUMBER(F67),D67*F67,""))</f>
        <v/>
      </c>
    </row>
    <row r="68">
      <c r="C68" s="6" t="n"/>
      <c r="D68" s="12" t="n"/>
      <c r="E68">
        <f>IF(OR(C68="",$B$2=""),"",DATEDIF(C68,EOMONTH($B$2,0),"m")+1)</f>
        <v/>
      </c>
      <c r="F68" s="8">
        <f>IF(B68="","",IF(LEFT(B68,4)="Plan",IF(E68&lt;=12,0.10,0),IF(LEFT(B68,7)="Cartera",IF(E68&lt;=12,0.06,IF(E68&lt;=24,0.03,0)),"tarifa asesora")))</f>
        <v/>
      </c>
      <c r="G68" s="12">
        <f>IF(OR(D68="",F68=""),"",IF(ISNUMBER(F68),D68*F68,""))</f>
        <v/>
      </c>
    </row>
    <row r="69">
      <c r="C69" s="6" t="n"/>
      <c r="D69" s="12" t="n"/>
      <c r="E69">
        <f>IF(OR(C69="",$B$2=""),"",DATEDIF(C69,EOMONTH($B$2,0),"m")+1)</f>
        <v/>
      </c>
      <c r="F69" s="8">
        <f>IF(B69="","",IF(LEFT(B69,4)="Plan",IF(E69&lt;=12,0.10,0),IF(LEFT(B69,7)="Cartera",IF(E69&lt;=12,0.06,IF(E69&lt;=24,0.03,0)),"tarifa asesora")))</f>
        <v/>
      </c>
      <c r="G69" s="12">
        <f>IF(OR(D69="",F69=""),"",IF(ISNUMBER(F69),D69*F69,""))</f>
        <v/>
      </c>
    </row>
    <row r="70">
      <c r="C70" s="6" t="n"/>
      <c r="D70" s="12" t="n"/>
      <c r="E70">
        <f>IF(OR(C70="",$B$2=""),"",DATEDIF(C70,EOMONTH($B$2,0),"m")+1)</f>
        <v/>
      </c>
      <c r="F70" s="8">
        <f>IF(B70="","",IF(LEFT(B70,4)="Plan",IF(E70&lt;=12,0.10,0),IF(LEFT(B70,7)="Cartera",IF(E70&lt;=12,0.06,IF(E70&lt;=24,0.03,0)),"tarifa asesora")))</f>
        <v/>
      </c>
      <c r="G70" s="12">
        <f>IF(OR(D70="",F70=""),"",IF(ISNUMBER(F70),D70*F70,""))</f>
        <v/>
      </c>
    </row>
    <row r="71">
      <c r="C71" s="6" t="n"/>
      <c r="D71" s="12" t="n"/>
      <c r="E71">
        <f>IF(OR(C71="",$B$2=""),"",DATEDIF(C71,EOMONTH($B$2,0),"m")+1)</f>
        <v/>
      </c>
      <c r="F71" s="8">
        <f>IF(B71="","",IF(LEFT(B71,4)="Plan",IF(E71&lt;=12,0.10,0),IF(LEFT(B71,7)="Cartera",IF(E71&lt;=12,0.06,IF(E71&lt;=24,0.03,0)),"tarifa asesora")))</f>
        <v/>
      </c>
      <c r="G71" s="12">
        <f>IF(OR(D71="",F71=""),"",IF(ISNUMBER(F71),D71*F71,""))</f>
        <v/>
      </c>
    </row>
    <row r="72">
      <c r="C72" s="6" t="n"/>
      <c r="D72" s="12" t="n"/>
      <c r="E72">
        <f>IF(OR(C72="",$B$2=""),"",DATEDIF(C72,EOMONTH($B$2,0),"m")+1)</f>
        <v/>
      </c>
      <c r="F72" s="8">
        <f>IF(B72="","",IF(LEFT(B72,4)="Plan",IF(E72&lt;=12,0.10,0),IF(LEFT(B72,7)="Cartera",IF(E72&lt;=12,0.06,IF(E72&lt;=24,0.03,0)),"tarifa asesora")))</f>
        <v/>
      </c>
      <c r="G72" s="12">
        <f>IF(OR(D72="",F72=""),"",IF(ISNUMBER(F72),D72*F72,""))</f>
        <v/>
      </c>
    </row>
    <row r="73">
      <c r="C73" s="6" t="n"/>
      <c r="D73" s="12" t="n"/>
      <c r="E73">
        <f>IF(OR(C73="",$B$2=""),"",DATEDIF(C73,EOMONTH($B$2,0),"m")+1)</f>
        <v/>
      </c>
      <c r="F73" s="8">
        <f>IF(B73="","",IF(LEFT(B73,4)="Plan",IF(E73&lt;=12,0.10,0),IF(LEFT(B73,7)="Cartera",IF(E73&lt;=12,0.06,IF(E73&lt;=24,0.03,0)),"tarifa asesora")))</f>
        <v/>
      </c>
      <c r="G73" s="12">
        <f>IF(OR(D73="",F73=""),"",IF(ISNUMBER(F73),D73*F73,""))</f>
        <v/>
      </c>
    </row>
    <row r="74">
      <c r="C74" s="6" t="n"/>
      <c r="D74" s="12" t="n"/>
      <c r="E74">
        <f>IF(OR(C74="",$B$2=""),"",DATEDIF(C74,EOMONTH($B$2,0),"m")+1)</f>
        <v/>
      </c>
      <c r="F74" s="8">
        <f>IF(B74="","",IF(LEFT(B74,4)="Plan",IF(E74&lt;=12,0.10,0),IF(LEFT(B74,7)="Cartera",IF(E74&lt;=12,0.06,IF(E74&lt;=24,0.03,0)),"tarifa asesora")))</f>
        <v/>
      </c>
      <c r="G74" s="12">
        <f>IF(OR(D74="",F74=""),"",IF(ISNUMBER(F74),D74*F74,""))</f>
        <v/>
      </c>
    </row>
    <row r="75">
      <c r="C75" s="6" t="n"/>
      <c r="D75" s="12" t="n"/>
      <c r="E75">
        <f>IF(OR(C75="",$B$2=""),"",DATEDIF(C75,EOMONTH($B$2,0),"m")+1)</f>
        <v/>
      </c>
      <c r="F75" s="8">
        <f>IF(B75="","",IF(LEFT(B75,4)="Plan",IF(E75&lt;=12,0.10,0),IF(LEFT(B75,7)="Cartera",IF(E75&lt;=12,0.06,IF(E75&lt;=24,0.03,0)),"tarifa asesora")))</f>
        <v/>
      </c>
      <c r="G75" s="12">
        <f>IF(OR(D75="",F75=""),"",IF(ISNUMBER(F75),D75*F75,""))</f>
        <v/>
      </c>
    </row>
    <row r="76">
      <c r="C76" s="6" t="n"/>
      <c r="D76" s="12" t="n"/>
      <c r="E76">
        <f>IF(OR(C76="",$B$2=""),"",DATEDIF(C76,EOMONTH($B$2,0),"m")+1)</f>
        <v/>
      </c>
      <c r="F76" s="8">
        <f>IF(B76="","",IF(LEFT(B76,4)="Plan",IF(E76&lt;=12,0.10,0),IF(LEFT(B76,7)="Cartera",IF(E76&lt;=12,0.06,IF(E76&lt;=24,0.03,0)),"tarifa asesora")))</f>
        <v/>
      </c>
      <c r="G76" s="12">
        <f>IF(OR(D76="",F76=""),"",IF(ISNUMBER(F76),D76*F76,""))</f>
        <v/>
      </c>
    </row>
    <row r="77">
      <c r="C77" s="6" t="n"/>
      <c r="D77" s="12" t="n"/>
      <c r="E77">
        <f>IF(OR(C77="",$B$2=""),"",DATEDIF(C77,EOMONTH($B$2,0),"m")+1)</f>
        <v/>
      </c>
      <c r="F77" s="8">
        <f>IF(B77="","",IF(LEFT(B77,4)="Plan",IF(E77&lt;=12,0.10,0),IF(LEFT(B77,7)="Cartera",IF(E77&lt;=12,0.06,IF(E77&lt;=24,0.03,0)),"tarifa asesora")))</f>
        <v/>
      </c>
      <c r="G77" s="12">
        <f>IF(OR(D77="",F77=""),"",IF(ISNUMBER(F77),D77*F77,""))</f>
        <v/>
      </c>
    </row>
    <row r="78">
      <c r="C78" s="6" t="n"/>
      <c r="D78" s="12" t="n"/>
      <c r="E78">
        <f>IF(OR(C78="",$B$2=""),"",DATEDIF(C78,EOMONTH($B$2,0),"m")+1)</f>
        <v/>
      </c>
      <c r="F78" s="8">
        <f>IF(B78="","",IF(LEFT(B78,4)="Plan",IF(E78&lt;=12,0.10,0),IF(LEFT(B78,7)="Cartera",IF(E78&lt;=12,0.06,IF(E78&lt;=24,0.03,0)),"tarifa asesora")))</f>
        <v/>
      </c>
      <c r="G78" s="12">
        <f>IF(OR(D78="",F78=""),"",IF(ISNUMBER(F78),D78*F78,""))</f>
        <v/>
      </c>
    </row>
    <row r="79">
      <c r="C79" s="6" t="n"/>
      <c r="D79" s="12" t="n"/>
      <c r="E79">
        <f>IF(OR(C79="",$B$2=""),"",DATEDIF(C79,EOMONTH($B$2,0),"m")+1)</f>
        <v/>
      </c>
      <c r="F79" s="8">
        <f>IF(B79="","",IF(LEFT(B79,4)="Plan",IF(E79&lt;=12,0.10,0),IF(LEFT(B79,7)="Cartera",IF(E79&lt;=12,0.06,IF(E79&lt;=24,0.03,0)),"tarifa asesora")))</f>
        <v/>
      </c>
      <c r="G79" s="12">
        <f>IF(OR(D79="",F79=""),"",IF(ISNUMBER(F79),D79*F79,""))</f>
        <v/>
      </c>
    </row>
    <row r="80">
      <c r="C80" s="6" t="n"/>
      <c r="D80" s="12" t="n"/>
      <c r="E80">
        <f>IF(OR(C80="",$B$2=""),"",DATEDIF(C80,EOMONTH($B$2,0),"m")+1)</f>
        <v/>
      </c>
      <c r="F80" s="8">
        <f>IF(B80="","",IF(LEFT(B80,4)="Plan",IF(E80&lt;=12,0.10,0),IF(LEFT(B80,7)="Cartera",IF(E80&lt;=12,0.06,IF(E80&lt;=24,0.03,0)),"tarifa asesora")))</f>
        <v/>
      </c>
      <c r="G80" s="12">
        <f>IF(OR(D80="",F80=""),"",IF(ISNUMBER(F80),D80*F80,""))</f>
        <v/>
      </c>
    </row>
    <row r="81">
      <c r="C81" s="6" t="n"/>
      <c r="D81" s="12" t="n"/>
      <c r="E81">
        <f>IF(OR(C81="",$B$2=""),"",DATEDIF(C81,EOMONTH($B$2,0),"m")+1)</f>
        <v/>
      </c>
      <c r="F81" s="8">
        <f>IF(B81="","",IF(LEFT(B81,4)="Plan",IF(E81&lt;=12,0.10,0),IF(LEFT(B81,7)="Cartera",IF(E81&lt;=12,0.06,IF(E81&lt;=24,0.03,0)),"tarifa asesora")))</f>
        <v/>
      </c>
      <c r="G81" s="12">
        <f>IF(OR(D81="",F81=""),"",IF(ISNUMBER(F81),D81*F81,""))</f>
        <v/>
      </c>
    </row>
    <row r="82">
      <c r="C82" s="6" t="n"/>
      <c r="D82" s="12" t="n"/>
      <c r="E82">
        <f>IF(OR(C82="",$B$2=""),"",DATEDIF(C82,EOMONTH($B$2,0),"m")+1)</f>
        <v/>
      </c>
      <c r="F82" s="8">
        <f>IF(B82="","",IF(LEFT(B82,4)="Plan",IF(E82&lt;=12,0.10,0),IF(LEFT(B82,7)="Cartera",IF(E82&lt;=12,0.06,IF(E82&lt;=24,0.03,0)),"tarifa asesora")))</f>
        <v/>
      </c>
      <c r="G82" s="12">
        <f>IF(OR(D82="",F82=""),"",IF(ISNUMBER(F82),D82*F82,""))</f>
        <v/>
      </c>
    </row>
    <row r="83">
      <c r="C83" s="6" t="n"/>
      <c r="D83" s="12" t="n"/>
      <c r="E83">
        <f>IF(OR(C83="",$B$2=""),"",DATEDIF(C83,EOMONTH($B$2,0),"m")+1)</f>
        <v/>
      </c>
      <c r="F83" s="8">
        <f>IF(B83="","",IF(LEFT(B83,4)="Plan",IF(E83&lt;=12,0.10,0),IF(LEFT(B83,7)="Cartera",IF(E83&lt;=12,0.06,IF(E83&lt;=24,0.03,0)),"tarifa asesora")))</f>
        <v/>
      </c>
      <c r="G83" s="12">
        <f>IF(OR(D83="",F83=""),"",IF(ISNUMBER(F83),D83*F83,""))</f>
        <v/>
      </c>
    </row>
    <row r="84">
      <c r="C84" s="6" t="n"/>
      <c r="D84" s="12" t="n"/>
      <c r="E84">
        <f>IF(OR(C84="",$B$2=""),"",DATEDIF(C84,EOMONTH($B$2,0),"m")+1)</f>
        <v/>
      </c>
      <c r="F84" s="8">
        <f>IF(B84="","",IF(LEFT(B84,4)="Plan",IF(E84&lt;=12,0.10,0),IF(LEFT(B84,7)="Cartera",IF(E84&lt;=12,0.06,IF(E84&lt;=24,0.03,0)),"tarifa asesora")))</f>
        <v/>
      </c>
      <c r="G84" s="12">
        <f>IF(OR(D84="",F84=""),"",IF(ISNUMBER(F84),D84*F84,""))</f>
        <v/>
      </c>
    </row>
    <row r="85">
      <c r="C85" s="6" t="n"/>
      <c r="D85" s="12" t="n"/>
      <c r="E85">
        <f>IF(OR(C85="",$B$2=""),"",DATEDIF(C85,EOMONTH($B$2,0),"m")+1)</f>
        <v/>
      </c>
      <c r="F85" s="8">
        <f>IF(B85="","",IF(LEFT(B85,4)="Plan",IF(E85&lt;=12,0.10,0),IF(LEFT(B85,7)="Cartera",IF(E85&lt;=12,0.06,IF(E85&lt;=24,0.03,0)),"tarifa asesora")))</f>
        <v/>
      </c>
      <c r="G85" s="12">
        <f>IF(OR(D85="",F85=""),"",IF(ISNUMBER(F85),D85*F85,""))</f>
        <v/>
      </c>
    </row>
    <row r="86">
      <c r="C86" s="6" t="n"/>
      <c r="D86" s="12" t="n"/>
      <c r="E86">
        <f>IF(OR(C86="",$B$2=""),"",DATEDIF(C86,EOMONTH($B$2,0),"m")+1)</f>
        <v/>
      </c>
      <c r="F86" s="8">
        <f>IF(B86="","",IF(LEFT(B86,4)="Plan",IF(E86&lt;=12,0.10,0),IF(LEFT(B86,7)="Cartera",IF(E86&lt;=12,0.06,IF(E86&lt;=24,0.03,0)),"tarifa asesora")))</f>
        <v/>
      </c>
      <c r="G86" s="12">
        <f>IF(OR(D86="",F86=""),"",IF(ISNUMBER(F86),D86*F86,""))</f>
        <v/>
      </c>
    </row>
    <row r="87">
      <c r="C87" s="6" t="n"/>
      <c r="D87" s="12" t="n"/>
      <c r="E87">
        <f>IF(OR(C87="",$B$2=""),"",DATEDIF(C87,EOMONTH($B$2,0),"m")+1)</f>
        <v/>
      </c>
      <c r="F87" s="8">
        <f>IF(B87="","",IF(LEFT(B87,4)="Plan",IF(E87&lt;=12,0.10,0),IF(LEFT(B87,7)="Cartera",IF(E87&lt;=12,0.06,IF(E87&lt;=24,0.03,0)),"tarifa asesora")))</f>
        <v/>
      </c>
      <c r="G87" s="12">
        <f>IF(OR(D87="",F87=""),"",IF(ISNUMBER(F87),D87*F87,""))</f>
        <v/>
      </c>
    </row>
    <row r="88">
      <c r="C88" s="6" t="n"/>
      <c r="D88" s="12" t="n"/>
      <c r="E88">
        <f>IF(OR(C88="",$B$2=""),"",DATEDIF(C88,EOMONTH($B$2,0),"m")+1)</f>
        <v/>
      </c>
      <c r="F88" s="8">
        <f>IF(B88="","",IF(LEFT(B88,4)="Plan",IF(E88&lt;=12,0.10,0),IF(LEFT(B88,7)="Cartera",IF(E88&lt;=12,0.06,IF(E88&lt;=24,0.03,0)),"tarifa asesora")))</f>
        <v/>
      </c>
      <c r="G88" s="12">
        <f>IF(OR(D88="",F88=""),"",IF(ISNUMBER(F88),D88*F88,""))</f>
        <v/>
      </c>
    </row>
    <row r="89">
      <c r="C89" s="6" t="n"/>
      <c r="D89" s="12" t="n"/>
      <c r="E89">
        <f>IF(OR(C89="",$B$2=""),"",DATEDIF(C89,EOMONTH($B$2,0),"m")+1)</f>
        <v/>
      </c>
      <c r="F89" s="8">
        <f>IF(B89="","",IF(LEFT(B89,4)="Plan",IF(E89&lt;=12,0.10,0),IF(LEFT(B89,7)="Cartera",IF(E89&lt;=12,0.06,IF(E89&lt;=24,0.03,0)),"tarifa asesora")))</f>
        <v/>
      </c>
      <c r="G89" s="12">
        <f>IF(OR(D89="",F89=""),"",IF(ISNUMBER(F89),D89*F89,""))</f>
        <v/>
      </c>
    </row>
    <row r="90">
      <c r="C90" s="6" t="n"/>
      <c r="D90" s="12" t="n"/>
      <c r="E90">
        <f>IF(OR(C90="",$B$2=""),"",DATEDIF(C90,EOMONTH($B$2,0),"m")+1)</f>
        <v/>
      </c>
      <c r="F90" s="8">
        <f>IF(B90="","",IF(LEFT(B90,4)="Plan",IF(E90&lt;=12,0.10,0),IF(LEFT(B90,7)="Cartera",IF(E90&lt;=12,0.06,IF(E90&lt;=24,0.03,0)),"tarifa asesora")))</f>
        <v/>
      </c>
      <c r="G90" s="12">
        <f>IF(OR(D90="",F90=""),"",IF(ISNUMBER(F90),D90*F90,""))</f>
        <v/>
      </c>
    </row>
    <row r="91">
      <c r="C91" s="6" t="n"/>
      <c r="D91" s="12" t="n"/>
      <c r="E91">
        <f>IF(OR(C91="",$B$2=""),"",DATEDIF(C91,EOMONTH($B$2,0),"m")+1)</f>
        <v/>
      </c>
      <c r="F91" s="8">
        <f>IF(B91="","",IF(LEFT(B91,4)="Plan",IF(E91&lt;=12,0.10,0),IF(LEFT(B91,7)="Cartera",IF(E91&lt;=12,0.06,IF(E91&lt;=24,0.03,0)),"tarifa asesora")))</f>
        <v/>
      </c>
      <c r="G91" s="12">
        <f>IF(OR(D91="",F91=""),"",IF(ISNUMBER(F91),D91*F91,""))</f>
        <v/>
      </c>
    </row>
    <row r="92">
      <c r="C92" s="6" t="n"/>
      <c r="D92" s="12" t="n"/>
      <c r="E92">
        <f>IF(OR(C92="",$B$2=""),"",DATEDIF(C92,EOMONTH($B$2,0),"m")+1)</f>
        <v/>
      </c>
      <c r="F92" s="8">
        <f>IF(B92="","",IF(LEFT(B92,4)="Plan",IF(E92&lt;=12,0.10,0),IF(LEFT(B92,7)="Cartera",IF(E92&lt;=12,0.06,IF(E92&lt;=24,0.03,0)),"tarifa asesora")))</f>
        <v/>
      </c>
      <c r="G92" s="12">
        <f>IF(OR(D92="",F92=""),"",IF(ISNUMBER(F92),D92*F92,""))</f>
        <v/>
      </c>
    </row>
    <row r="93">
      <c r="C93" s="6" t="n"/>
      <c r="D93" s="12" t="n"/>
      <c r="E93">
        <f>IF(OR(C93="",$B$2=""),"",DATEDIF(C93,EOMONTH($B$2,0),"m")+1)</f>
        <v/>
      </c>
      <c r="F93" s="8">
        <f>IF(B93="","",IF(LEFT(B93,4)="Plan",IF(E93&lt;=12,0.10,0),IF(LEFT(B93,7)="Cartera",IF(E93&lt;=12,0.06,IF(E93&lt;=24,0.03,0)),"tarifa asesora")))</f>
        <v/>
      </c>
      <c r="G93" s="12">
        <f>IF(OR(D93="",F93=""),"",IF(ISNUMBER(F93),D93*F93,""))</f>
        <v/>
      </c>
    </row>
    <row r="94">
      <c r="C94" s="6" t="n"/>
      <c r="D94" s="12" t="n"/>
      <c r="E94">
        <f>IF(OR(C94="",$B$2=""),"",DATEDIF(C94,EOMONTH($B$2,0),"m")+1)</f>
        <v/>
      </c>
      <c r="F94" s="8">
        <f>IF(B94="","",IF(LEFT(B94,4)="Plan",IF(E94&lt;=12,0.10,0),IF(LEFT(B94,7)="Cartera",IF(E94&lt;=12,0.06,IF(E94&lt;=24,0.03,0)),"tarifa asesora")))</f>
        <v/>
      </c>
      <c r="G94" s="12">
        <f>IF(OR(D94="",F94=""),"",IF(ISNUMBER(F94),D94*F94,""))</f>
        <v/>
      </c>
    </row>
    <row r="95">
      <c r="C95" s="6" t="n"/>
      <c r="D95" s="12" t="n"/>
      <c r="E95">
        <f>IF(OR(C95="",$B$2=""),"",DATEDIF(C95,EOMONTH($B$2,0),"m")+1)</f>
        <v/>
      </c>
      <c r="F95" s="8">
        <f>IF(B95="","",IF(LEFT(B95,4)="Plan",IF(E95&lt;=12,0.10,0),IF(LEFT(B95,7)="Cartera",IF(E95&lt;=12,0.06,IF(E95&lt;=24,0.03,0)),"tarifa asesora")))</f>
        <v/>
      </c>
      <c r="G95" s="12">
        <f>IF(OR(D95="",F95=""),"",IF(ISNUMBER(F95),D95*F95,""))</f>
        <v/>
      </c>
    </row>
    <row r="96">
      <c r="C96" s="6" t="n"/>
      <c r="D96" s="12" t="n"/>
      <c r="E96">
        <f>IF(OR(C96="",$B$2=""),"",DATEDIF(C96,EOMONTH($B$2,0),"m")+1)</f>
        <v/>
      </c>
      <c r="F96" s="8">
        <f>IF(B96="","",IF(LEFT(B96,4)="Plan",IF(E96&lt;=12,0.10,0),IF(LEFT(B96,7)="Cartera",IF(E96&lt;=12,0.06,IF(E96&lt;=24,0.03,0)),"tarifa asesora")))</f>
        <v/>
      </c>
      <c r="G96" s="12">
        <f>IF(OR(D96="",F96=""),"",IF(ISNUMBER(F96),D96*F96,""))</f>
        <v/>
      </c>
    </row>
    <row r="97">
      <c r="C97" s="6" t="n"/>
      <c r="D97" s="12" t="n"/>
      <c r="E97">
        <f>IF(OR(C97="",$B$2=""),"",DATEDIF(C97,EOMONTH($B$2,0),"m")+1)</f>
        <v/>
      </c>
      <c r="F97" s="8">
        <f>IF(B97="","",IF(LEFT(B97,4)="Plan",IF(E97&lt;=12,0.10,0),IF(LEFT(B97,7)="Cartera",IF(E97&lt;=12,0.06,IF(E97&lt;=24,0.03,0)),"tarifa asesora")))</f>
        <v/>
      </c>
      <c r="G97" s="12">
        <f>IF(OR(D97="",F97=""),"",IF(ISNUMBER(F97),D97*F97,""))</f>
        <v/>
      </c>
    </row>
    <row r="98">
      <c r="C98" s="6" t="n"/>
      <c r="D98" s="12" t="n"/>
      <c r="E98">
        <f>IF(OR(C98="",$B$2=""),"",DATEDIF(C98,EOMONTH($B$2,0),"m")+1)</f>
        <v/>
      </c>
      <c r="F98" s="8">
        <f>IF(B98="","",IF(LEFT(B98,4)="Plan",IF(E98&lt;=12,0.10,0),IF(LEFT(B98,7)="Cartera",IF(E98&lt;=12,0.06,IF(E98&lt;=24,0.03,0)),"tarifa asesora")))</f>
        <v/>
      </c>
      <c r="G98" s="12">
        <f>IF(OR(D98="",F98=""),"",IF(ISNUMBER(F98),D98*F98,""))</f>
        <v/>
      </c>
    </row>
    <row r="99">
      <c r="C99" s="6" t="n"/>
      <c r="D99" s="12" t="n"/>
      <c r="E99">
        <f>IF(OR(C99="",$B$2=""),"",DATEDIF(C99,EOMONTH($B$2,0),"m")+1)</f>
        <v/>
      </c>
      <c r="F99" s="8">
        <f>IF(B99="","",IF(LEFT(B99,4)="Plan",IF(E99&lt;=12,0.10,0),IF(LEFT(B99,7)="Cartera",IF(E99&lt;=12,0.06,IF(E99&lt;=24,0.03,0)),"tarifa asesora")))</f>
        <v/>
      </c>
      <c r="G99" s="12">
        <f>IF(OR(D99="",F99=""),"",IF(ISNUMBER(F99),D99*F99,""))</f>
        <v/>
      </c>
    </row>
    <row r="100">
      <c r="C100" s="6" t="n"/>
      <c r="D100" s="12" t="n"/>
      <c r="E100">
        <f>IF(OR(C100="",$B$2=""),"",DATEDIF(C100,EOMONTH($B$2,0),"m")+1)</f>
        <v/>
      </c>
      <c r="F100" s="8">
        <f>IF(B100="","",IF(LEFT(B100,4)="Plan",IF(E100&lt;=12,0.10,0),IF(LEFT(B100,7)="Cartera",IF(E100&lt;=12,0.06,IF(E100&lt;=24,0.03,0)),"tarifa asesora")))</f>
        <v/>
      </c>
      <c r="G100" s="12">
        <f>IF(OR(D100="",F100=""),"",IF(ISNUMBER(F100),D100*F100,""))</f>
        <v/>
      </c>
    </row>
    <row r="101">
      <c r="C101" s="6" t="n"/>
      <c r="D101" s="12" t="n"/>
      <c r="E101">
        <f>IF(OR(C101="",$B$2=""),"",DATEDIF(C101,EOMONTH($B$2,0),"m")+1)</f>
        <v/>
      </c>
      <c r="F101" s="8">
        <f>IF(B101="","",IF(LEFT(B101,4)="Plan",IF(E101&lt;=12,0.10,0),IF(LEFT(B101,7)="Cartera",IF(E101&lt;=12,0.06,IF(E101&lt;=24,0.03,0)),"tarifa asesora")))</f>
        <v/>
      </c>
      <c r="G101" s="12">
        <f>IF(OR(D101="",F101=""),"",IF(ISNUMBER(F101),D101*F101,""))</f>
        <v/>
      </c>
    </row>
    <row r="102">
      <c r="C102" s="6" t="n"/>
      <c r="D102" s="12" t="n"/>
      <c r="E102">
        <f>IF(OR(C102="",$B$2=""),"",DATEDIF(C102,EOMONTH($B$2,0),"m")+1)</f>
        <v/>
      </c>
      <c r="F102" s="8">
        <f>IF(B102="","",IF(LEFT(B102,4)="Plan",IF(E102&lt;=12,0.10,0),IF(LEFT(B102,7)="Cartera",IF(E102&lt;=12,0.06,IF(E102&lt;=24,0.03,0)),"tarifa asesora")))</f>
        <v/>
      </c>
      <c r="G102" s="12">
        <f>IF(OR(D102="",F102=""),"",IF(ISNUMBER(F102),D102*F102,""))</f>
        <v/>
      </c>
    </row>
    <row r="103">
      <c r="C103" s="6" t="n"/>
      <c r="D103" s="12" t="n"/>
      <c r="E103">
        <f>IF(OR(C103="",$B$2=""),"",DATEDIF(C103,EOMONTH($B$2,0),"m")+1)</f>
        <v/>
      </c>
      <c r="F103" s="8">
        <f>IF(B103="","",IF(LEFT(B103,4)="Plan",IF(E103&lt;=12,0.10,0),IF(LEFT(B103,7)="Cartera",IF(E103&lt;=12,0.06,IF(E103&lt;=24,0.03,0)),"tarifa asesora")))</f>
        <v/>
      </c>
      <c r="G103" s="12">
        <f>IF(OR(D103="",F103=""),"",IF(ISNUMBER(F103),D103*F103,""))</f>
        <v/>
      </c>
    </row>
    <row r="104">
      <c r="C104" s="6" t="n"/>
      <c r="D104" s="12" t="n"/>
      <c r="E104">
        <f>IF(OR(C104="",$B$2=""),"",DATEDIF(C104,EOMONTH($B$2,0),"m")+1)</f>
        <v/>
      </c>
      <c r="F104" s="8">
        <f>IF(B104="","",IF(LEFT(B104,4)="Plan",IF(E104&lt;=12,0.10,0),IF(LEFT(B104,7)="Cartera",IF(E104&lt;=12,0.06,IF(E104&lt;=24,0.03,0)),"tarifa asesora")))</f>
        <v/>
      </c>
      <c r="G104" s="12">
        <f>IF(OR(D104="",F104=""),"",IF(ISNUMBER(F104),D104*F104,""))</f>
        <v/>
      </c>
    </row>
    <row r="105">
      <c r="C105" s="6" t="n"/>
      <c r="D105" s="12" t="n"/>
      <c r="E105">
        <f>IF(OR(C105="",$B$2=""),"",DATEDIF(C105,EOMONTH($B$2,0),"m")+1)</f>
        <v/>
      </c>
      <c r="F105" s="8">
        <f>IF(B105="","",IF(LEFT(B105,4)="Plan",IF(E105&lt;=12,0.10,0),IF(LEFT(B105,7)="Cartera",IF(E105&lt;=12,0.06,IF(E105&lt;=24,0.03,0)),"tarifa asesora")))</f>
        <v/>
      </c>
      <c r="G105" s="12">
        <f>IF(OR(D105="",F105=""),"",IF(ISNUMBER(F105),D105*F105,""))</f>
        <v/>
      </c>
    </row>
    <row r="106">
      <c r="C106" s="6" t="n"/>
      <c r="D106" s="12" t="n"/>
      <c r="E106">
        <f>IF(OR(C106="",$B$2=""),"",DATEDIF(C106,EOMONTH($B$2,0),"m")+1)</f>
        <v/>
      </c>
      <c r="F106" s="8">
        <f>IF(B106="","",IF(LEFT(B106,4)="Plan",IF(E106&lt;=12,0.10,0),IF(LEFT(B106,7)="Cartera",IF(E106&lt;=12,0.06,IF(E106&lt;=24,0.03,0)),"tarifa asesora")))</f>
        <v/>
      </c>
      <c r="G106" s="12">
        <f>IF(OR(D106="",F106=""),"",IF(ISNUMBER(F106),D106*F106,""))</f>
        <v/>
      </c>
    </row>
    <row r="107">
      <c r="C107" s="6" t="n"/>
      <c r="D107" s="12" t="n"/>
      <c r="E107">
        <f>IF(OR(C107="",$B$2=""),"",DATEDIF(C107,EOMONTH($B$2,0),"m")+1)</f>
        <v/>
      </c>
      <c r="F107" s="8">
        <f>IF(B107="","",IF(LEFT(B107,4)="Plan",IF(E107&lt;=12,0.10,0),IF(LEFT(B107,7)="Cartera",IF(E107&lt;=12,0.06,IF(E107&lt;=24,0.03,0)),"tarifa asesora")))</f>
        <v/>
      </c>
      <c r="G107" s="12">
        <f>IF(OR(D107="",F107=""),"",IF(ISNUMBER(F107),D107*F107,""))</f>
        <v/>
      </c>
    </row>
    <row r="108">
      <c r="C108" s="6" t="n"/>
      <c r="D108" s="12" t="n"/>
      <c r="E108">
        <f>IF(OR(C108="",$B$2=""),"",DATEDIF(C108,EOMONTH($B$2,0),"m")+1)</f>
        <v/>
      </c>
      <c r="F108" s="8">
        <f>IF(B108="","",IF(LEFT(B108,4)="Plan",IF(E108&lt;=12,0.10,0),IF(LEFT(B108,7)="Cartera",IF(E108&lt;=12,0.06,IF(E108&lt;=24,0.03,0)),"tarifa asesora")))</f>
        <v/>
      </c>
      <c r="G108" s="12">
        <f>IF(OR(D108="",F108=""),"",IF(ISNUMBER(F108),D108*F108,""))</f>
        <v/>
      </c>
    </row>
    <row r="109">
      <c r="C109" s="6" t="n"/>
      <c r="D109" s="12" t="n"/>
      <c r="E109">
        <f>IF(OR(C109="",$B$2=""),"",DATEDIF(C109,EOMONTH($B$2,0),"m")+1)</f>
        <v/>
      </c>
      <c r="F109" s="8">
        <f>IF(B109="","",IF(LEFT(B109,4)="Plan",IF(E109&lt;=12,0.10,0),IF(LEFT(B109,7)="Cartera",IF(E109&lt;=12,0.06,IF(E109&lt;=24,0.03,0)),"tarifa asesora")))</f>
        <v/>
      </c>
      <c r="G109" s="12">
        <f>IF(OR(D109="",F109=""),"",IF(ISNUMBER(F109),D109*F109,""))</f>
        <v/>
      </c>
    </row>
    <row r="110">
      <c r="C110" s="6" t="n"/>
      <c r="D110" s="12" t="n"/>
      <c r="E110">
        <f>IF(OR(C110="",$B$2=""),"",DATEDIF(C110,EOMONTH($B$2,0),"m")+1)</f>
        <v/>
      </c>
      <c r="F110" s="8">
        <f>IF(B110="","",IF(LEFT(B110,4)="Plan",IF(E110&lt;=12,0.10,0),IF(LEFT(B110,7)="Cartera",IF(E110&lt;=12,0.06,IF(E110&lt;=24,0.03,0)),"tarifa asesora")))</f>
        <v/>
      </c>
      <c r="G110" s="12">
        <f>IF(OR(D110="",F110=""),"",IF(ISNUMBER(F110),D110*F110,""))</f>
        <v/>
      </c>
    </row>
    <row r="111">
      <c r="C111" s="6" t="n"/>
      <c r="D111" s="12" t="n"/>
      <c r="E111">
        <f>IF(OR(C111="",$B$2=""),"",DATEDIF(C111,EOMONTH($B$2,0),"m")+1)</f>
        <v/>
      </c>
      <c r="F111" s="8">
        <f>IF(B111="","",IF(LEFT(B111,4)="Plan",IF(E111&lt;=12,0.10,0),IF(LEFT(B111,7)="Cartera",IF(E111&lt;=12,0.06,IF(E111&lt;=24,0.03,0)),"tarifa asesora")))</f>
        <v/>
      </c>
      <c r="G111" s="12">
        <f>IF(OR(D111="",F111=""),"",IF(ISNUMBER(F111),D111*F111,""))</f>
        <v/>
      </c>
    </row>
    <row r="112">
      <c r="C112" s="6" t="n"/>
      <c r="D112" s="12" t="n"/>
      <c r="E112">
        <f>IF(OR(C112="",$B$2=""),"",DATEDIF(C112,EOMONTH($B$2,0),"m")+1)</f>
        <v/>
      </c>
      <c r="F112" s="8">
        <f>IF(B112="","",IF(LEFT(B112,4)="Plan",IF(E112&lt;=12,0.10,0),IF(LEFT(B112,7)="Cartera",IF(E112&lt;=12,0.06,IF(E112&lt;=24,0.03,0)),"tarifa asesora")))</f>
        <v/>
      </c>
      <c r="G112" s="12">
        <f>IF(OR(D112="",F112=""),"",IF(ISNUMBER(F112),D112*F112,""))</f>
        <v/>
      </c>
    </row>
    <row r="113">
      <c r="C113" s="6" t="n"/>
      <c r="D113" s="12" t="n"/>
      <c r="E113">
        <f>IF(OR(C113="",$B$2=""),"",DATEDIF(C113,EOMONTH($B$2,0),"m")+1)</f>
        <v/>
      </c>
      <c r="F113" s="8">
        <f>IF(B113="","",IF(LEFT(B113,4)="Plan",IF(E113&lt;=12,0.10,0),IF(LEFT(B113,7)="Cartera",IF(E113&lt;=12,0.06,IF(E113&lt;=24,0.03,0)),"tarifa asesora")))</f>
        <v/>
      </c>
      <c r="G113" s="12">
        <f>IF(OR(D113="",F113=""),"",IF(ISNUMBER(F113),D113*F113,""))</f>
        <v/>
      </c>
    </row>
    <row r="114">
      <c r="C114" s="6" t="n"/>
      <c r="D114" s="12" t="n"/>
      <c r="E114">
        <f>IF(OR(C114="",$B$2=""),"",DATEDIF(C114,EOMONTH($B$2,0),"m")+1)</f>
        <v/>
      </c>
      <c r="F114" s="8">
        <f>IF(B114="","",IF(LEFT(B114,4)="Plan",IF(E114&lt;=12,0.10,0),IF(LEFT(B114,7)="Cartera",IF(E114&lt;=12,0.06,IF(E114&lt;=24,0.03,0)),"tarifa asesora")))</f>
        <v/>
      </c>
      <c r="G114" s="12">
        <f>IF(OR(D114="",F114=""),"",IF(ISNUMBER(F114),D114*F114,""))</f>
        <v/>
      </c>
    </row>
    <row r="115">
      <c r="C115" s="6" t="n"/>
      <c r="D115" s="12" t="n"/>
      <c r="E115">
        <f>IF(OR(C115="",$B$2=""),"",DATEDIF(C115,EOMONTH($B$2,0),"m")+1)</f>
        <v/>
      </c>
      <c r="F115" s="8">
        <f>IF(B115="","",IF(LEFT(B115,4)="Plan",IF(E115&lt;=12,0.10,0),IF(LEFT(B115,7)="Cartera",IF(E115&lt;=12,0.06,IF(E115&lt;=24,0.03,0)),"tarifa asesora")))</f>
        <v/>
      </c>
      <c r="G115" s="12">
        <f>IF(OR(D115="",F115=""),"",IF(ISNUMBER(F115),D115*F115,""))</f>
        <v/>
      </c>
    </row>
    <row r="116">
      <c r="C116" s="6" t="n"/>
      <c r="D116" s="12" t="n"/>
      <c r="E116">
        <f>IF(OR(C116="",$B$2=""),"",DATEDIF(C116,EOMONTH($B$2,0),"m")+1)</f>
        <v/>
      </c>
      <c r="F116" s="8">
        <f>IF(B116="","",IF(LEFT(B116,4)="Plan",IF(E116&lt;=12,0.10,0),IF(LEFT(B116,7)="Cartera",IF(E116&lt;=12,0.06,IF(E116&lt;=24,0.03,0)),"tarifa asesora")))</f>
        <v/>
      </c>
      <c r="G116" s="12">
        <f>IF(OR(D116="",F116=""),"",IF(ISNUMBER(F116),D116*F116,""))</f>
        <v/>
      </c>
    </row>
    <row r="117">
      <c r="C117" s="6" t="n"/>
      <c r="D117" s="12" t="n"/>
      <c r="E117">
        <f>IF(OR(C117="",$B$2=""),"",DATEDIF(C117,EOMONTH($B$2,0),"m")+1)</f>
        <v/>
      </c>
      <c r="F117" s="8">
        <f>IF(B117="","",IF(LEFT(B117,4)="Plan",IF(E117&lt;=12,0.10,0),IF(LEFT(B117,7)="Cartera",IF(E117&lt;=12,0.06,IF(E117&lt;=24,0.03,0)),"tarifa asesora")))</f>
        <v/>
      </c>
      <c r="G117" s="12">
        <f>IF(OR(D117="",F117=""),"",IF(ISNUMBER(F117),D117*F117,""))</f>
        <v/>
      </c>
    </row>
    <row r="118">
      <c r="C118" s="6" t="n"/>
      <c r="D118" s="12" t="n"/>
      <c r="E118">
        <f>IF(OR(C118="",$B$2=""),"",DATEDIF(C118,EOMONTH($B$2,0),"m")+1)</f>
        <v/>
      </c>
      <c r="F118" s="8">
        <f>IF(B118="","",IF(LEFT(B118,4)="Plan",IF(E118&lt;=12,0.10,0),IF(LEFT(B118,7)="Cartera",IF(E118&lt;=12,0.06,IF(E118&lt;=24,0.03,0)),"tarifa asesora")))</f>
        <v/>
      </c>
      <c r="G118" s="12">
        <f>IF(OR(D118="",F118=""),"",IF(ISNUMBER(F118),D118*F118,""))</f>
        <v/>
      </c>
    </row>
    <row r="119">
      <c r="C119" s="6" t="n"/>
      <c r="D119" s="12" t="n"/>
      <c r="E119">
        <f>IF(OR(C119="",$B$2=""),"",DATEDIF(C119,EOMONTH($B$2,0),"m")+1)</f>
        <v/>
      </c>
      <c r="F119" s="8">
        <f>IF(B119="","",IF(LEFT(B119,4)="Plan",IF(E119&lt;=12,0.10,0),IF(LEFT(B119,7)="Cartera",IF(E119&lt;=12,0.06,IF(E119&lt;=24,0.03,0)),"tarifa asesora")))</f>
        <v/>
      </c>
      <c r="G119" s="12">
        <f>IF(OR(D119="",F119=""),"",IF(ISNUMBER(F119),D119*F119,""))</f>
        <v/>
      </c>
    </row>
    <row r="120">
      <c r="C120" s="6" t="n"/>
      <c r="D120" s="12" t="n"/>
      <c r="E120">
        <f>IF(OR(C120="",$B$2=""),"",DATEDIF(C120,EOMONTH($B$2,0),"m")+1)</f>
        <v/>
      </c>
      <c r="F120" s="8">
        <f>IF(B120="","",IF(LEFT(B120,4)="Plan",IF(E120&lt;=12,0.10,0),IF(LEFT(B120,7)="Cartera",IF(E120&lt;=12,0.06,IF(E120&lt;=24,0.03,0)),"tarifa asesora")))</f>
        <v/>
      </c>
      <c r="G120" s="12">
        <f>IF(OR(D120="",F120=""),"",IF(ISNUMBER(F120),D120*F120,""))</f>
        <v/>
      </c>
    </row>
    <row r="121">
      <c r="C121" s="6" t="n"/>
      <c r="D121" s="12" t="n"/>
      <c r="E121">
        <f>IF(OR(C121="",$B$2=""),"",DATEDIF(C121,EOMONTH($B$2,0),"m")+1)</f>
        <v/>
      </c>
      <c r="F121" s="8">
        <f>IF(B121="","",IF(LEFT(B121,4)="Plan",IF(E121&lt;=12,0.10,0),IF(LEFT(B121,7)="Cartera",IF(E121&lt;=12,0.06,IF(E121&lt;=24,0.03,0)),"tarifa asesora")))</f>
        <v/>
      </c>
      <c r="G121" s="12">
        <f>IF(OR(D121="",F121=""),"",IF(ISNUMBER(F121),D121*F121,""))</f>
        <v/>
      </c>
    </row>
    <row r="122">
      <c r="C122" s="6" t="n"/>
      <c r="D122" s="12" t="n"/>
      <c r="E122">
        <f>IF(OR(C122="",$B$2=""),"",DATEDIF(C122,EOMONTH($B$2,0),"m")+1)</f>
        <v/>
      </c>
      <c r="F122" s="8">
        <f>IF(B122="","",IF(LEFT(B122,4)="Plan",IF(E122&lt;=12,0.10,0),IF(LEFT(B122,7)="Cartera",IF(E122&lt;=12,0.06,IF(E122&lt;=24,0.03,0)),"tarifa asesora")))</f>
        <v/>
      </c>
      <c r="G122" s="12">
        <f>IF(OR(D122="",F122=""),"",IF(ISNUMBER(F122),D122*F122,""))</f>
        <v/>
      </c>
    </row>
    <row r="123">
      <c r="C123" s="6" t="n"/>
      <c r="D123" s="12" t="n"/>
      <c r="E123">
        <f>IF(OR(C123="",$B$2=""),"",DATEDIF(C123,EOMONTH($B$2,0),"m")+1)</f>
        <v/>
      </c>
      <c r="F123" s="8">
        <f>IF(B123="","",IF(LEFT(B123,4)="Plan",IF(E123&lt;=12,0.10,0),IF(LEFT(B123,7)="Cartera",IF(E123&lt;=12,0.06,IF(E123&lt;=24,0.03,0)),"tarifa asesora")))</f>
        <v/>
      </c>
      <c r="G123" s="12">
        <f>IF(OR(D123="",F123=""),"",IF(ISNUMBER(F123),D123*F123,""))</f>
        <v/>
      </c>
    </row>
    <row r="124">
      <c r="C124" s="6" t="n"/>
      <c r="D124" s="12" t="n"/>
      <c r="E124">
        <f>IF(OR(C124="",$B$2=""),"",DATEDIF(C124,EOMONTH($B$2,0),"m")+1)</f>
        <v/>
      </c>
      <c r="F124" s="8">
        <f>IF(B124="","",IF(LEFT(B124,4)="Plan",IF(E124&lt;=12,0.10,0),IF(LEFT(B124,7)="Cartera",IF(E124&lt;=12,0.06,IF(E124&lt;=24,0.03,0)),"tarifa asesora")))</f>
        <v/>
      </c>
      <c r="G124" s="12">
        <f>IF(OR(D124="",F124=""),"",IF(ISNUMBER(F124),D124*F124,""))</f>
        <v/>
      </c>
    </row>
    <row r="125">
      <c r="C125" s="6" t="n"/>
      <c r="D125" s="12" t="n"/>
      <c r="E125">
        <f>IF(OR(C125="",$B$2=""),"",DATEDIF(C125,EOMONTH($B$2,0),"m")+1)</f>
        <v/>
      </c>
      <c r="F125" s="8">
        <f>IF(B125="","",IF(LEFT(B125,4)="Plan",IF(E125&lt;=12,0.10,0),IF(LEFT(B125,7)="Cartera",IF(E125&lt;=12,0.06,IF(E125&lt;=24,0.03,0)),"tarifa asesora")))</f>
        <v/>
      </c>
      <c r="G125" s="12">
        <f>IF(OR(D125="",F125=""),"",IF(ISNUMBER(F125),D125*F125,""))</f>
        <v/>
      </c>
    </row>
    <row r="126">
      <c r="C126" s="6" t="n"/>
      <c r="D126" s="12" t="n"/>
      <c r="E126">
        <f>IF(OR(C126="",$B$2=""),"",DATEDIF(C126,EOMONTH($B$2,0),"m")+1)</f>
        <v/>
      </c>
      <c r="F126" s="8">
        <f>IF(B126="","",IF(LEFT(B126,4)="Plan",IF(E126&lt;=12,0.10,0),IF(LEFT(B126,7)="Cartera",IF(E126&lt;=12,0.06,IF(E126&lt;=24,0.03,0)),"tarifa asesora")))</f>
        <v/>
      </c>
      <c r="G126" s="12">
        <f>IF(OR(D126="",F126=""),"",IF(ISNUMBER(F126),D126*F126,""))</f>
        <v/>
      </c>
    </row>
    <row r="127">
      <c r="C127" s="6" t="n"/>
      <c r="D127" s="12" t="n"/>
      <c r="E127">
        <f>IF(OR(C127="",$B$2=""),"",DATEDIF(C127,EOMONTH($B$2,0),"m")+1)</f>
        <v/>
      </c>
      <c r="F127" s="8">
        <f>IF(B127="","",IF(LEFT(B127,4)="Plan",IF(E127&lt;=12,0.10,0),IF(LEFT(B127,7)="Cartera",IF(E127&lt;=12,0.06,IF(E127&lt;=24,0.03,0)),"tarifa asesora")))</f>
        <v/>
      </c>
      <c r="G127" s="12">
        <f>IF(OR(D127="",F127=""),"",IF(ISNUMBER(F127),D127*F127,""))</f>
        <v/>
      </c>
    </row>
    <row r="128">
      <c r="C128" s="6" t="n"/>
      <c r="D128" s="12" t="n"/>
      <c r="E128">
        <f>IF(OR(C128="",$B$2=""),"",DATEDIF(C128,EOMONTH($B$2,0),"m")+1)</f>
        <v/>
      </c>
      <c r="F128" s="8">
        <f>IF(B128="","",IF(LEFT(B128,4)="Plan",IF(E128&lt;=12,0.10,0),IF(LEFT(B128,7)="Cartera",IF(E128&lt;=12,0.06,IF(E128&lt;=24,0.03,0)),"tarifa asesora")))</f>
        <v/>
      </c>
      <c r="G128" s="12">
        <f>IF(OR(D128="",F128=""),"",IF(ISNUMBER(F128),D128*F128,""))</f>
        <v/>
      </c>
    </row>
    <row r="129">
      <c r="C129" s="6" t="n"/>
      <c r="D129" s="12" t="n"/>
      <c r="E129">
        <f>IF(OR(C129="",$B$2=""),"",DATEDIF(C129,EOMONTH($B$2,0),"m")+1)</f>
        <v/>
      </c>
      <c r="F129" s="8">
        <f>IF(B129="","",IF(LEFT(B129,4)="Plan",IF(E129&lt;=12,0.10,0),IF(LEFT(B129,7)="Cartera",IF(E129&lt;=12,0.06,IF(E129&lt;=24,0.03,0)),"tarifa asesora")))</f>
        <v/>
      </c>
      <c r="G129" s="12">
        <f>IF(OR(D129="",F129=""),"",IF(ISNUMBER(F129),D129*F129,""))</f>
        <v/>
      </c>
    </row>
    <row r="130">
      <c r="C130" s="6" t="n"/>
      <c r="D130" s="12" t="n"/>
      <c r="E130">
        <f>IF(OR(C130="",$B$2=""),"",DATEDIF(C130,EOMONTH($B$2,0),"m")+1)</f>
        <v/>
      </c>
      <c r="F130" s="8">
        <f>IF(B130="","",IF(LEFT(B130,4)="Plan",IF(E130&lt;=12,0.10,0),IF(LEFT(B130,7)="Cartera",IF(E130&lt;=12,0.06,IF(E130&lt;=24,0.03,0)),"tarifa asesora")))</f>
        <v/>
      </c>
      <c r="G130" s="12">
        <f>IF(OR(D130="",F130=""),"",IF(ISNUMBER(F130),D130*F130,""))</f>
        <v/>
      </c>
    </row>
    <row r="131">
      <c r="C131" s="6" t="n"/>
      <c r="D131" s="12" t="n"/>
      <c r="E131">
        <f>IF(OR(C131="",$B$2=""),"",DATEDIF(C131,EOMONTH($B$2,0),"m")+1)</f>
        <v/>
      </c>
      <c r="F131" s="8">
        <f>IF(B131="","",IF(LEFT(B131,4)="Plan",IF(E131&lt;=12,0.10,0),IF(LEFT(B131,7)="Cartera",IF(E131&lt;=12,0.06,IF(E131&lt;=24,0.03,0)),"tarifa asesora")))</f>
        <v/>
      </c>
      <c r="G131" s="12">
        <f>IF(OR(D131="",F131=""),"",IF(ISNUMBER(F131),D131*F131,""))</f>
        <v/>
      </c>
    </row>
    <row r="132">
      <c r="C132" s="6" t="n"/>
      <c r="D132" s="12" t="n"/>
      <c r="E132">
        <f>IF(OR(C132="",$B$2=""),"",DATEDIF(C132,EOMONTH($B$2,0),"m")+1)</f>
        <v/>
      </c>
      <c r="F132" s="8">
        <f>IF(B132="","",IF(LEFT(B132,4)="Plan",IF(E132&lt;=12,0.10,0),IF(LEFT(B132,7)="Cartera",IF(E132&lt;=12,0.06,IF(E132&lt;=24,0.03,0)),"tarifa asesora")))</f>
        <v/>
      </c>
      <c r="G132" s="12">
        <f>IF(OR(D132="",F132=""),"",IF(ISNUMBER(F132),D132*F132,""))</f>
        <v/>
      </c>
    </row>
    <row r="133">
      <c r="C133" s="6" t="n"/>
      <c r="D133" s="12" t="n"/>
      <c r="E133">
        <f>IF(OR(C133="",$B$2=""),"",DATEDIF(C133,EOMONTH($B$2,0),"m")+1)</f>
        <v/>
      </c>
      <c r="F133" s="8">
        <f>IF(B133="","",IF(LEFT(B133,4)="Plan",IF(E133&lt;=12,0.10,0),IF(LEFT(B133,7)="Cartera",IF(E133&lt;=12,0.06,IF(E133&lt;=24,0.03,0)),"tarifa asesora")))</f>
        <v/>
      </c>
      <c r="G133" s="12">
        <f>IF(OR(D133="",F133=""),"",IF(ISNUMBER(F133),D133*F133,""))</f>
        <v/>
      </c>
    </row>
    <row r="134">
      <c r="C134" s="6" t="n"/>
      <c r="D134" s="12" t="n"/>
      <c r="E134">
        <f>IF(OR(C134="",$B$2=""),"",DATEDIF(C134,EOMONTH($B$2,0),"m")+1)</f>
        <v/>
      </c>
      <c r="F134" s="8">
        <f>IF(B134="","",IF(LEFT(B134,4)="Plan",IF(E134&lt;=12,0.10,0),IF(LEFT(B134,7)="Cartera",IF(E134&lt;=12,0.06,IF(E134&lt;=24,0.03,0)),"tarifa asesora")))</f>
        <v/>
      </c>
      <c r="G134" s="12">
        <f>IF(OR(D134="",F134=""),"",IF(ISNUMBER(F134),D134*F134,""))</f>
        <v/>
      </c>
    </row>
    <row r="135">
      <c r="C135" s="6" t="n"/>
      <c r="D135" s="12" t="n"/>
      <c r="E135">
        <f>IF(OR(C135="",$B$2=""),"",DATEDIF(C135,EOMONTH($B$2,0),"m")+1)</f>
        <v/>
      </c>
      <c r="F135" s="8">
        <f>IF(B135="","",IF(LEFT(B135,4)="Plan",IF(E135&lt;=12,0.10,0),IF(LEFT(B135,7)="Cartera",IF(E135&lt;=12,0.06,IF(E135&lt;=24,0.03,0)),"tarifa asesora")))</f>
        <v/>
      </c>
      <c r="G135" s="12">
        <f>IF(OR(D135="",F135=""),"",IF(ISNUMBER(F135),D135*F135,""))</f>
        <v/>
      </c>
    </row>
    <row r="136">
      <c r="C136" s="6" t="n"/>
      <c r="D136" s="12" t="n"/>
      <c r="E136">
        <f>IF(OR(C136="",$B$2=""),"",DATEDIF(C136,EOMONTH($B$2,0),"m")+1)</f>
        <v/>
      </c>
      <c r="F136" s="8">
        <f>IF(B136="","",IF(LEFT(B136,4)="Plan",IF(E136&lt;=12,0.10,0),IF(LEFT(B136,7)="Cartera",IF(E136&lt;=12,0.06,IF(E136&lt;=24,0.03,0)),"tarifa asesora")))</f>
        <v/>
      </c>
      <c r="G136" s="12">
        <f>IF(OR(D136="",F136=""),"",IF(ISNUMBER(F136),D136*F136,""))</f>
        <v/>
      </c>
    </row>
    <row r="137">
      <c r="C137" s="6" t="n"/>
      <c r="D137" s="12" t="n"/>
      <c r="E137">
        <f>IF(OR(C137="",$B$2=""),"",DATEDIF(C137,EOMONTH($B$2,0),"m")+1)</f>
        <v/>
      </c>
      <c r="F137" s="8">
        <f>IF(B137="","",IF(LEFT(B137,4)="Plan",IF(E137&lt;=12,0.10,0),IF(LEFT(B137,7)="Cartera",IF(E137&lt;=12,0.06,IF(E137&lt;=24,0.03,0)),"tarifa asesora")))</f>
        <v/>
      </c>
      <c r="G137" s="12">
        <f>IF(OR(D137="",F137=""),"",IF(ISNUMBER(F137),D137*F137,""))</f>
        <v/>
      </c>
    </row>
    <row r="138">
      <c r="C138" s="6" t="n"/>
      <c r="D138" s="12" t="n"/>
      <c r="E138">
        <f>IF(OR(C138="",$B$2=""),"",DATEDIF(C138,EOMONTH($B$2,0),"m")+1)</f>
        <v/>
      </c>
      <c r="F138" s="8">
        <f>IF(B138="","",IF(LEFT(B138,4)="Plan",IF(E138&lt;=12,0.10,0),IF(LEFT(B138,7)="Cartera",IF(E138&lt;=12,0.06,IF(E138&lt;=24,0.03,0)),"tarifa asesora")))</f>
        <v/>
      </c>
      <c r="G138" s="12">
        <f>IF(OR(D138="",F138=""),"",IF(ISNUMBER(F138),D138*F138,""))</f>
        <v/>
      </c>
    </row>
    <row r="139">
      <c r="C139" s="6" t="n"/>
      <c r="D139" s="12" t="n"/>
      <c r="E139">
        <f>IF(OR(C139="",$B$2=""),"",DATEDIF(C139,EOMONTH($B$2,0),"m")+1)</f>
        <v/>
      </c>
      <c r="F139" s="8">
        <f>IF(B139="","",IF(LEFT(B139,4)="Plan",IF(E139&lt;=12,0.10,0),IF(LEFT(B139,7)="Cartera",IF(E139&lt;=12,0.06,IF(E139&lt;=24,0.03,0)),"tarifa asesora")))</f>
        <v/>
      </c>
      <c r="G139" s="12">
        <f>IF(OR(D139="",F139=""),"",IF(ISNUMBER(F139),D139*F139,""))</f>
        <v/>
      </c>
    </row>
    <row r="140">
      <c r="C140" s="6" t="n"/>
      <c r="D140" s="12" t="n"/>
      <c r="E140">
        <f>IF(OR(C140="",$B$2=""),"",DATEDIF(C140,EOMONTH($B$2,0),"m")+1)</f>
        <v/>
      </c>
      <c r="F140" s="8">
        <f>IF(B140="","",IF(LEFT(B140,4)="Plan",IF(E140&lt;=12,0.10,0),IF(LEFT(B140,7)="Cartera",IF(E140&lt;=12,0.06,IF(E140&lt;=24,0.03,0)),"tarifa asesora")))</f>
        <v/>
      </c>
      <c r="G140" s="12">
        <f>IF(OR(D140="",F140=""),"",IF(ISNUMBER(F140),D140*F140,""))</f>
        <v/>
      </c>
    </row>
    <row r="141">
      <c r="C141" s="6" t="n"/>
      <c r="D141" s="12" t="n"/>
      <c r="E141">
        <f>IF(OR(C141="",$B$2=""),"",DATEDIF(C141,EOMONTH($B$2,0),"m")+1)</f>
        <v/>
      </c>
      <c r="F141" s="8">
        <f>IF(B141="","",IF(LEFT(B141,4)="Plan",IF(E141&lt;=12,0.10,0),IF(LEFT(B141,7)="Cartera",IF(E141&lt;=12,0.06,IF(E141&lt;=24,0.03,0)),"tarifa asesora")))</f>
        <v/>
      </c>
      <c r="G141" s="12">
        <f>IF(OR(D141="",F141=""),"",IF(ISNUMBER(F141),D141*F141,""))</f>
        <v/>
      </c>
    </row>
    <row r="142">
      <c r="C142" s="6" t="n"/>
      <c r="D142" s="12" t="n"/>
      <c r="E142">
        <f>IF(OR(C142="",$B$2=""),"",DATEDIF(C142,EOMONTH($B$2,0),"m")+1)</f>
        <v/>
      </c>
      <c r="F142" s="8">
        <f>IF(B142="","",IF(LEFT(B142,4)="Plan",IF(E142&lt;=12,0.10,0),IF(LEFT(B142,7)="Cartera",IF(E142&lt;=12,0.06,IF(E142&lt;=24,0.03,0)),"tarifa asesora")))</f>
        <v/>
      </c>
      <c r="G142" s="12">
        <f>IF(OR(D142="",F142=""),"",IF(ISNUMBER(F142),D142*F142,""))</f>
        <v/>
      </c>
    </row>
    <row r="143">
      <c r="C143" s="6" t="n"/>
      <c r="D143" s="12" t="n"/>
      <c r="E143">
        <f>IF(OR(C143="",$B$2=""),"",DATEDIF(C143,EOMONTH($B$2,0),"m")+1)</f>
        <v/>
      </c>
      <c r="F143" s="8">
        <f>IF(B143="","",IF(LEFT(B143,4)="Plan",IF(E143&lt;=12,0.10,0),IF(LEFT(B143,7)="Cartera",IF(E143&lt;=12,0.06,IF(E143&lt;=24,0.03,0)),"tarifa asesora")))</f>
        <v/>
      </c>
      <c r="G143" s="12">
        <f>IF(OR(D143="",F143=""),"",IF(ISNUMBER(F143),D143*F143,""))</f>
        <v/>
      </c>
    </row>
    <row r="144">
      <c r="C144" s="6" t="n"/>
      <c r="D144" s="12" t="n"/>
      <c r="E144">
        <f>IF(OR(C144="",$B$2=""),"",DATEDIF(C144,EOMONTH($B$2,0),"m")+1)</f>
        <v/>
      </c>
      <c r="F144" s="8">
        <f>IF(B144="","",IF(LEFT(B144,4)="Plan",IF(E144&lt;=12,0.10,0),IF(LEFT(B144,7)="Cartera",IF(E144&lt;=12,0.06,IF(E144&lt;=24,0.03,0)),"tarifa asesora")))</f>
        <v/>
      </c>
      <c r="G144" s="12">
        <f>IF(OR(D144="",F144=""),"",IF(ISNUMBER(F144),D144*F144,""))</f>
        <v/>
      </c>
    </row>
    <row r="145">
      <c r="C145" s="6" t="n"/>
      <c r="D145" s="12" t="n"/>
      <c r="E145">
        <f>IF(OR(C145="",$B$2=""),"",DATEDIF(C145,EOMONTH($B$2,0),"m")+1)</f>
        <v/>
      </c>
      <c r="F145" s="8">
        <f>IF(B145="","",IF(LEFT(B145,4)="Plan",IF(E145&lt;=12,0.10,0),IF(LEFT(B145,7)="Cartera",IF(E145&lt;=12,0.06,IF(E145&lt;=24,0.03,0)),"tarifa asesora")))</f>
        <v/>
      </c>
      <c r="G145" s="12">
        <f>IF(OR(D145="",F145=""),"",IF(ISNUMBER(F145),D145*F145,""))</f>
        <v/>
      </c>
    </row>
    <row r="146">
      <c r="C146" s="6" t="n"/>
      <c r="D146" s="12" t="n"/>
      <c r="E146">
        <f>IF(OR(C146="",$B$2=""),"",DATEDIF(C146,EOMONTH($B$2,0),"m")+1)</f>
        <v/>
      </c>
      <c r="F146" s="8">
        <f>IF(B146="","",IF(LEFT(B146,4)="Plan",IF(E146&lt;=12,0.10,0),IF(LEFT(B146,7)="Cartera",IF(E146&lt;=12,0.06,IF(E146&lt;=24,0.03,0)),"tarifa asesora")))</f>
        <v/>
      </c>
      <c r="G146" s="12">
        <f>IF(OR(D146="",F146=""),"",IF(ISNUMBER(F146),D146*F146,""))</f>
        <v/>
      </c>
    </row>
    <row r="147">
      <c r="C147" s="6" t="n"/>
      <c r="D147" s="12" t="n"/>
      <c r="E147">
        <f>IF(OR(C147="",$B$2=""),"",DATEDIF(C147,EOMONTH($B$2,0),"m")+1)</f>
        <v/>
      </c>
      <c r="F147" s="8">
        <f>IF(B147="","",IF(LEFT(B147,4)="Plan",IF(E147&lt;=12,0.10,0),IF(LEFT(B147,7)="Cartera",IF(E147&lt;=12,0.06,IF(E147&lt;=24,0.03,0)),"tarifa asesora")))</f>
        <v/>
      </c>
      <c r="G147" s="12">
        <f>IF(OR(D147="",F147=""),"",IF(ISNUMBER(F147),D147*F147,""))</f>
        <v/>
      </c>
    </row>
    <row r="148">
      <c r="C148" s="6" t="n"/>
      <c r="D148" s="12" t="n"/>
      <c r="E148">
        <f>IF(OR(C148="",$B$2=""),"",DATEDIF(C148,EOMONTH($B$2,0),"m")+1)</f>
        <v/>
      </c>
      <c r="F148" s="8">
        <f>IF(B148="","",IF(LEFT(B148,4)="Plan",IF(E148&lt;=12,0.10,0),IF(LEFT(B148,7)="Cartera",IF(E148&lt;=12,0.06,IF(E148&lt;=24,0.03,0)),"tarifa asesora")))</f>
        <v/>
      </c>
      <c r="G148" s="12">
        <f>IF(OR(D148="",F148=""),"",IF(ISNUMBER(F148),D148*F148,""))</f>
        <v/>
      </c>
    </row>
    <row r="149">
      <c r="C149" s="6" t="n"/>
      <c r="D149" s="12" t="n"/>
      <c r="E149">
        <f>IF(OR(C149="",$B$2=""),"",DATEDIF(C149,EOMONTH($B$2,0),"m")+1)</f>
        <v/>
      </c>
      <c r="F149" s="8">
        <f>IF(B149="","",IF(LEFT(B149,4)="Plan",IF(E149&lt;=12,0.10,0),IF(LEFT(B149,7)="Cartera",IF(E149&lt;=12,0.06,IF(E149&lt;=24,0.03,0)),"tarifa asesora")))</f>
        <v/>
      </c>
      <c r="G149" s="12">
        <f>IF(OR(D149="",F149=""),"",IF(ISNUMBER(F149),D149*F149,""))</f>
        <v/>
      </c>
    </row>
    <row r="150">
      <c r="C150" s="6" t="n"/>
      <c r="D150" s="12" t="n"/>
      <c r="E150">
        <f>IF(OR(C150="",$B$2=""),"",DATEDIF(C150,EOMONTH($B$2,0),"m")+1)</f>
        <v/>
      </c>
      <c r="F150" s="8">
        <f>IF(B150="","",IF(LEFT(B150,4)="Plan",IF(E150&lt;=12,0.10,0),IF(LEFT(B150,7)="Cartera",IF(E150&lt;=12,0.06,IF(E150&lt;=24,0.03,0)),"tarifa asesora")))</f>
        <v/>
      </c>
      <c r="G150" s="12">
        <f>IF(OR(D150="",F150=""),"",IF(ISNUMBER(F150),D150*F150,""))</f>
        <v/>
      </c>
    </row>
    <row r="151">
      <c r="C151" s="6" t="n"/>
      <c r="D151" s="12" t="n"/>
      <c r="E151">
        <f>IF(OR(C151="",$B$2=""),"",DATEDIF(C151,EOMONTH($B$2,0),"m")+1)</f>
        <v/>
      </c>
      <c r="F151" s="8">
        <f>IF(B151="","",IF(LEFT(B151,4)="Plan",IF(E151&lt;=12,0.10,0),IF(LEFT(B151,7)="Cartera",IF(E151&lt;=12,0.06,IF(E151&lt;=24,0.03,0)),"tarifa asesora")))</f>
        <v/>
      </c>
      <c r="G151" s="12">
        <f>IF(OR(D151="",F151=""),"",IF(ISNUMBER(F151),D151*F151,""))</f>
        <v/>
      </c>
    </row>
    <row r="152">
      <c r="C152" s="6" t="n"/>
      <c r="D152" s="12" t="n"/>
      <c r="E152">
        <f>IF(OR(C152="",$B$2=""),"",DATEDIF(C152,EOMONTH($B$2,0),"m")+1)</f>
        <v/>
      </c>
      <c r="F152" s="8">
        <f>IF(B152="","",IF(LEFT(B152,4)="Plan",IF(E152&lt;=12,0.10,0),IF(LEFT(B152,7)="Cartera",IF(E152&lt;=12,0.06,IF(E152&lt;=24,0.03,0)),"tarifa asesora")))</f>
        <v/>
      </c>
      <c r="G152" s="12">
        <f>IF(OR(D152="",F152=""),"",IF(ISNUMBER(F152),D152*F152,""))</f>
        <v/>
      </c>
    </row>
    <row r="153">
      <c r="C153" s="6" t="n"/>
      <c r="D153" s="12" t="n"/>
      <c r="E153">
        <f>IF(OR(C153="",$B$2=""),"",DATEDIF(C153,EOMONTH($B$2,0),"m")+1)</f>
        <v/>
      </c>
      <c r="F153" s="8">
        <f>IF(B153="","",IF(LEFT(B153,4)="Plan",IF(E153&lt;=12,0.10,0),IF(LEFT(B153,7)="Cartera",IF(E153&lt;=12,0.06,IF(E153&lt;=24,0.03,0)),"tarifa asesora")))</f>
        <v/>
      </c>
      <c r="G153" s="12">
        <f>IF(OR(D153="",F153=""),"",IF(ISNUMBER(F153),D153*F153,""))</f>
        <v/>
      </c>
    </row>
    <row r="154">
      <c r="C154" s="6" t="n"/>
      <c r="D154" s="12" t="n"/>
      <c r="E154">
        <f>IF(OR(C154="",$B$2=""),"",DATEDIF(C154,EOMONTH($B$2,0),"m")+1)</f>
        <v/>
      </c>
      <c r="F154" s="8">
        <f>IF(B154="","",IF(LEFT(B154,4)="Plan",IF(E154&lt;=12,0.10,0),IF(LEFT(B154,7)="Cartera",IF(E154&lt;=12,0.06,IF(E154&lt;=24,0.03,0)),"tarifa asesora")))</f>
        <v/>
      </c>
      <c r="G154" s="12">
        <f>IF(OR(D154="",F154=""),"",IF(ISNUMBER(F154),D154*F154,""))</f>
        <v/>
      </c>
    </row>
    <row r="155">
      <c r="C155" s="6" t="n"/>
      <c r="D155" s="12" t="n"/>
      <c r="E155">
        <f>IF(OR(C155="",$B$2=""),"",DATEDIF(C155,EOMONTH($B$2,0),"m")+1)</f>
        <v/>
      </c>
      <c r="F155" s="8">
        <f>IF(B155="","",IF(LEFT(B155,4)="Plan",IF(E155&lt;=12,0.10,0),IF(LEFT(B155,7)="Cartera",IF(E155&lt;=12,0.06,IF(E155&lt;=24,0.03,0)),"tarifa asesora")))</f>
        <v/>
      </c>
      <c r="G155" s="12">
        <f>IF(OR(D155="",F155=""),"",IF(ISNUMBER(F155),D155*F155,""))</f>
        <v/>
      </c>
    </row>
    <row r="156">
      <c r="C156" s="6" t="n"/>
      <c r="D156" s="12" t="n"/>
      <c r="E156">
        <f>IF(OR(C156="",$B$2=""),"",DATEDIF(C156,EOMONTH($B$2,0),"m")+1)</f>
        <v/>
      </c>
      <c r="F156" s="8">
        <f>IF(B156="","",IF(LEFT(B156,4)="Plan",IF(E156&lt;=12,0.10,0),IF(LEFT(B156,7)="Cartera",IF(E156&lt;=12,0.06,IF(E156&lt;=24,0.03,0)),"tarifa asesora")))</f>
        <v/>
      </c>
      <c r="G156" s="12">
        <f>IF(OR(D156="",F156=""),"",IF(ISNUMBER(F156),D156*F156,""))</f>
        <v/>
      </c>
    </row>
    <row r="157">
      <c r="C157" s="6" t="n"/>
      <c r="D157" s="12" t="n"/>
      <c r="E157">
        <f>IF(OR(C157="",$B$2=""),"",DATEDIF(C157,EOMONTH($B$2,0),"m")+1)</f>
        <v/>
      </c>
      <c r="F157" s="8">
        <f>IF(B157="","",IF(LEFT(B157,4)="Plan",IF(E157&lt;=12,0.10,0),IF(LEFT(B157,7)="Cartera",IF(E157&lt;=12,0.06,IF(E157&lt;=24,0.03,0)),"tarifa asesora")))</f>
        <v/>
      </c>
      <c r="G157" s="12">
        <f>IF(OR(D157="",F157=""),"",IF(ISNUMBER(F157),D157*F157,""))</f>
        <v/>
      </c>
    </row>
    <row r="158">
      <c r="C158" s="6" t="n"/>
      <c r="D158" s="12" t="n"/>
      <c r="E158">
        <f>IF(OR(C158="",$B$2=""),"",DATEDIF(C158,EOMONTH($B$2,0),"m")+1)</f>
        <v/>
      </c>
      <c r="F158" s="8">
        <f>IF(B158="","",IF(LEFT(B158,4)="Plan",IF(E158&lt;=12,0.10,0),IF(LEFT(B158,7)="Cartera",IF(E158&lt;=12,0.06,IF(E158&lt;=24,0.03,0)),"tarifa asesora")))</f>
        <v/>
      </c>
      <c r="G158" s="12">
        <f>IF(OR(D158="",F158=""),"",IF(ISNUMBER(F158),D158*F158,""))</f>
        <v/>
      </c>
    </row>
    <row r="159">
      <c r="C159" s="6" t="n"/>
      <c r="D159" s="12" t="n"/>
      <c r="E159">
        <f>IF(OR(C159="",$B$2=""),"",DATEDIF(C159,EOMONTH($B$2,0),"m")+1)</f>
        <v/>
      </c>
      <c r="F159" s="8">
        <f>IF(B159="","",IF(LEFT(B159,4)="Plan",IF(E159&lt;=12,0.10,0),IF(LEFT(B159,7)="Cartera",IF(E159&lt;=12,0.06,IF(E159&lt;=24,0.03,0)),"tarifa asesora")))</f>
        <v/>
      </c>
      <c r="G159" s="12">
        <f>IF(OR(D159="",F159=""),"",IF(ISNUMBER(F159),D159*F159,""))</f>
        <v/>
      </c>
    </row>
    <row r="160">
      <c r="C160" s="6" t="n"/>
      <c r="D160" s="12" t="n"/>
      <c r="E160">
        <f>IF(OR(C160="",$B$2=""),"",DATEDIF(C160,EOMONTH($B$2,0),"m")+1)</f>
        <v/>
      </c>
      <c r="F160" s="8">
        <f>IF(B160="","",IF(LEFT(B160,4)="Plan",IF(E160&lt;=12,0.10,0),IF(LEFT(B160,7)="Cartera",IF(E160&lt;=12,0.06,IF(E160&lt;=24,0.03,0)),"tarifa asesora")))</f>
        <v/>
      </c>
      <c r="G160" s="12">
        <f>IF(OR(D160="",F160=""),"",IF(ISNUMBER(F160),D160*F160,""))</f>
        <v/>
      </c>
    </row>
    <row r="161">
      <c r="C161" s="6" t="n"/>
      <c r="D161" s="12" t="n"/>
      <c r="E161">
        <f>IF(OR(C161="",$B$2=""),"",DATEDIF(C161,EOMONTH($B$2,0),"m")+1)</f>
        <v/>
      </c>
      <c r="F161" s="8">
        <f>IF(B161="","",IF(LEFT(B161,4)="Plan",IF(E161&lt;=12,0.10,0),IF(LEFT(B161,7)="Cartera",IF(E161&lt;=12,0.06,IF(E161&lt;=24,0.03,0)),"tarifa asesora")))</f>
        <v/>
      </c>
      <c r="G161" s="12">
        <f>IF(OR(D161="",F161=""),"",IF(ISNUMBER(F161),D161*F161,""))</f>
        <v/>
      </c>
    </row>
    <row r="162">
      <c r="C162" s="6" t="n"/>
      <c r="D162" s="12" t="n"/>
      <c r="E162">
        <f>IF(OR(C162="",$B$2=""),"",DATEDIF(C162,EOMONTH($B$2,0),"m")+1)</f>
        <v/>
      </c>
      <c r="F162" s="8">
        <f>IF(B162="","",IF(LEFT(B162,4)="Plan",IF(E162&lt;=12,0.10,0),IF(LEFT(B162,7)="Cartera",IF(E162&lt;=12,0.06,IF(E162&lt;=24,0.03,0)),"tarifa asesora")))</f>
        <v/>
      </c>
      <c r="G162" s="12">
        <f>IF(OR(D162="",F162=""),"",IF(ISNUMBER(F162),D162*F162,""))</f>
        <v/>
      </c>
    </row>
    <row r="163">
      <c r="C163" s="6" t="n"/>
      <c r="D163" s="12" t="n"/>
      <c r="E163">
        <f>IF(OR(C163="",$B$2=""),"",DATEDIF(C163,EOMONTH($B$2,0),"m")+1)</f>
        <v/>
      </c>
      <c r="F163" s="8">
        <f>IF(B163="","",IF(LEFT(B163,4)="Plan",IF(E163&lt;=12,0.10,0),IF(LEFT(B163,7)="Cartera",IF(E163&lt;=12,0.06,IF(E163&lt;=24,0.03,0)),"tarifa asesora")))</f>
        <v/>
      </c>
      <c r="G163" s="12">
        <f>IF(OR(D163="",F163=""),"",IF(ISNUMBER(F163),D163*F163,""))</f>
        <v/>
      </c>
    </row>
    <row r="164">
      <c r="C164" s="6" t="n"/>
      <c r="D164" s="12" t="n"/>
      <c r="E164">
        <f>IF(OR(C164="",$B$2=""),"",DATEDIF(C164,EOMONTH($B$2,0),"m")+1)</f>
        <v/>
      </c>
      <c r="F164" s="8">
        <f>IF(B164="","",IF(LEFT(B164,4)="Plan",IF(E164&lt;=12,0.10,0),IF(LEFT(B164,7)="Cartera",IF(E164&lt;=12,0.06,IF(E164&lt;=24,0.03,0)),"tarifa asesora")))</f>
        <v/>
      </c>
      <c r="G164" s="12">
        <f>IF(OR(D164="",F164=""),"",IF(ISNUMBER(F164),D164*F164,""))</f>
        <v/>
      </c>
    </row>
    <row r="165">
      <c r="C165" s="6" t="n"/>
      <c r="D165" s="12" t="n"/>
      <c r="E165">
        <f>IF(OR(C165="",$B$2=""),"",DATEDIF(C165,EOMONTH($B$2,0),"m")+1)</f>
        <v/>
      </c>
      <c r="F165" s="8">
        <f>IF(B165="","",IF(LEFT(B165,4)="Plan",IF(E165&lt;=12,0.10,0),IF(LEFT(B165,7)="Cartera",IF(E165&lt;=12,0.06,IF(E165&lt;=24,0.03,0)),"tarifa asesora")))</f>
        <v/>
      </c>
      <c r="G165" s="12">
        <f>IF(OR(D165="",F165=""),"",IF(ISNUMBER(F165),D165*F165,""))</f>
        <v/>
      </c>
    </row>
    <row r="166">
      <c r="C166" s="6" t="n"/>
      <c r="D166" s="12" t="n"/>
      <c r="E166">
        <f>IF(OR(C166="",$B$2=""),"",DATEDIF(C166,EOMONTH($B$2,0),"m")+1)</f>
        <v/>
      </c>
      <c r="F166" s="8">
        <f>IF(B166="","",IF(LEFT(B166,4)="Plan",IF(E166&lt;=12,0.10,0),IF(LEFT(B166,7)="Cartera",IF(E166&lt;=12,0.06,IF(E166&lt;=24,0.03,0)),"tarifa asesora")))</f>
        <v/>
      </c>
      <c r="G166" s="12">
        <f>IF(OR(D166="",F166=""),"",IF(ISNUMBER(F166),D166*F166,""))</f>
        <v/>
      </c>
    </row>
    <row r="167">
      <c r="C167" s="6" t="n"/>
      <c r="D167" s="12" t="n"/>
      <c r="E167">
        <f>IF(OR(C167="",$B$2=""),"",DATEDIF(C167,EOMONTH($B$2,0),"m")+1)</f>
        <v/>
      </c>
      <c r="F167" s="8">
        <f>IF(B167="","",IF(LEFT(B167,4)="Plan",IF(E167&lt;=12,0.10,0),IF(LEFT(B167,7)="Cartera",IF(E167&lt;=12,0.06,IF(E167&lt;=24,0.03,0)),"tarifa asesora")))</f>
        <v/>
      </c>
      <c r="G167" s="12">
        <f>IF(OR(D167="",F167=""),"",IF(ISNUMBER(F167),D167*F167,""))</f>
        <v/>
      </c>
    </row>
    <row r="168">
      <c r="C168" s="6" t="n"/>
      <c r="D168" s="12" t="n"/>
      <c r="E168">
        <f>IF(OR(C168="",$B$2=""),"",DATEDIF(C168,EOMONTH($B$2,0),"m")+1)</f>
        <v/>
      </c>
      <c r="F168" s="8">
        <f>IF(B168="","",IF(LEFT(B168,4)="Plan",IF(E168&lt;=12,0.10,0),IF(LEFT(B168,7)="Cartera",IF(E168&lt;=12,0.06,IF(E168&lt;=24,0.03,0)),"tarifa asesora")))</f>
        <v/>
      </c>
      <c r="G168" s="12">
        <f>IF(OR(D168="",F168=""),"",IF(ISNUMBER(F168),D168*F168,""))</f>
        <v/>
      </c>
    </row>
    <row r="169">
      <c r="C169" s="6" t="n"/>
      <c r="D169" s="12" t="n"/>
      <c r="E169">
        <f>IF(OR(C169="",$B$2=""),"",DATEDIF(C169,EOMONTH($B$2,0),"m")+1)</f>
        <v/>
      </c>
      <c r="F169" s="8">
        <f>IF(B169="","",IF(LEFT(B169,4)="Plan",IF(E169&lt;=12,0.10,0),IF(LEFT(B169,7)="Cartera",IF(E169&lt;=12,0.06,IF(E169&lt;=24,0.03,0)),"tarifa asesora")))</f>
        <v/>
      </c>
      <c r="G169" s="12">
        <f>IF(OR(D169="",F169=""),"",IF(ISNUMBER(F169),D169*F169,""))</f>
        <v/>
      </c>
    </row>
    <row r="170">
      <c r="C170" s="6" t="n"/>
      <c r="D170" s="12" t="n"/>
      <c r="E170">
        <f>IF(OR(C170="",$B$2=""),"",DATEDIF(C170,EOMONTH($B$2,0),"m")+1)</f>
        <v/>
      </c>
      <c r="F170" s="8">
        <f>IF(B170="","",IF(LEFT(B170,4)="Plan",IF(E170&lt;=12,0.10,0),IF(LEFT(B170,7)="Cartera",IF(E170&lt;=12,0.06,IF(E170&lt;=24,0.03,0)),"tarifa asesora")))</f>
        <v/>
      </c>
      <c r="G170" s="12">
        <f>IF(OR(D170="",F170=""),"",IF(ISNUMBER(F170),D170*F170,""))</f>
        <v/>
      </c>
    </row>
    <row r="171">
      <c r="C171" s="6" t="n"/>
      <c r="D171" s="12" t="n"/>
      <c r="E171">
        <f>IF(OR(C171="",$B$2=""),"",DATEDIF(C171,EOMONTH($B$2,0),"m")+1)</f>
        <v/>
      </c>
      <c r="F171" s="8">
        <f>IF(B171="","",IF(LEFT(B171,4)="Plan",IF(E171&lt;=12,0.10,0),IF(LEFT(B171,7)="Cartera",IF(E171&lt;=12,0.06,IF(E171&lt;=24,0.03,0)),"tarifa asesora")))</f>
        <v/>
      </c>
      <c r="G171" s="12">
        <f>IF(OR(D171="",F171=""),"",IF(ISNUMBER(F171),D171*F171,""))</f>
        <v/>
      </c>
    </row>
    <row r="172">
      <c r="C172" s="6" t="n"/>
      <c r="D172" s="12" t="n"/>
      <c r="E172">
        <f>IF(OR(C172="",$B$2=""),"",DATEDIF(C172,EOMONTH($B$2,0),"m")+1)</f>
        <v/>
      </c>
      <c r="F172" s="8">
        <f>IF(B172="","",IF(LEFT(B172,4)="Plan",IF(E172&lt;=12,0.10,0),IF(LEFT(B172,7)="Cartera",IF(E172&lt;=12,0.06,IF(E172&lt;=24,0.03,0)),"tarifa asesora")))</f>
        <v/>
      </c>
      <c r="G172" s="12">
        <f>IF(OR(D172="",F172=""),"",IF(ISNUMBER(F172),D172*F172,""))</f>
        <v/>
      </c>
    </row>
    <row r="173">
      <c r="C173" s="6" t="n"/>
      <c r="D173" s="12" t="n"/>
      <c r="E173">
        <f>IF(OR(C173="",$B$2=""),"",DATEDIF(C173,EOMONTH($B$2,0),"m")+1)</f>
        <v/>
      </c>
      <c r="F173" s="8">
        <f>IF(B173="","",IF(LEFT(B173,4)="Plan",IF(E173&lt;=12,0.10,0),IF(LEFT(B173,7)="Cartera",IF(E173&lt;=12,0.06,IF(E173&lt;=24,0.03,0)),"tarifa asesora")))</f>
        <v/>
      </c>
      <c r="G173" s="12">
        <f>IF(OR(D173="",F173=""),"",IF(ISNUMBER(F173),D173*F173,""))</f>
        <v/>
      </c>
    </row>
    <row r="174">
      <c r="C174" s="6" t="n"/>
      <c r="D174" s="12" t="n"/>
      <c r="E174">
        <f>IF(OR(C174="",$B$2=""),"",DATEDIF(C174,EOMONTH($B$2,0),"m")+1)</f>
        <v/>
      </c>
      <c r="F174" s="8">
        <f>IF(B174="","",IF(LEFT(B174,4)="Plan",IF(E174&lt;=12,0.10,0),IF(LEFT(B174,7)="Cartera",IF(E174&lt;=12,0.06,IF(E174&lt;=24,0.03,0)),"tarifa asesora")))</f>
        <v/>
      </c>
      <c r="G174" s="12">
        <f>IF(OR(D174="",F174=""),"",IF(ISNUMBER(F174),D174*F174,""))</f>
        <v/>
      </c>
    </row>
    <row r="175">
      <c r="C175" s="6" t="n"/>
      <c r="D175" s="12" t="n"/>
      <c r="E175">
        <f>IF(OR(C175="",$B$2=""),"",DATEDIF(C175,EOMONTH($B$2,0),"m")+1)</f>
        <v/>
      </c>
      <c r="F175" s="8">
        <f>IF(B175="","",IF(LEFT(B175,4)="Plan",IF(E175&lt;=12,0.10,0),IF(LEFT(B175,7)="Cartera",IF(E175&lt;=12,0.06,IF(E175&lt;=24,0.03,0)),"tarifa asesora")))</f>
        <v/>
      </c>
      <c r="G175" s="12">
        <f>IF(OR(D175="",F175=""),"",IF(ISNUMBER(F175),D175*F175,""))</f>
        <v/>
      </c>
    </row>
    <row r="176">
      <c r="C176" s="6" t="n"/>
      <c r="D176" s="12" t="n"/>
      <c r="E176">
        <f>IF(OR(C176="",$B$2=""),"",DATEDIF(C176,EOMONTH($B$2,0),"m")+1)</f>
        <v/>
      </c>
      <c r="F176" s="8">
        <f>IF(B176="","",IF(LEFT(B176,4)="Plan",IF(E176&lt;=12,0.10,0),IF(LEFT(B176,7)="Cartera",IF(E176&lt;=12,0.06,IF(E176&lt;=24,0.03,0)),"tarifa asesora")))</f>
        <v/>
      </c>
      <c r="G176" s="12">
        <f>IF(OR(D176="",F176=""),"",IF(ISNUMBER(F176),D176*F176,""))</f>
        <v/>
      </c>
    </row>
    <row r="177">
      <c r="C177" s="6" t="n"/>
      <c r="D177" s="12" t="n"/>
      <c r="E177">
        <f>IF(OR(C177="",$B$2=""),"",DATEDIF(C177,EOMONTH($B$2,0),"m")+1)</f>
        <v/>
      </c>
      <c r="F177" s="8">
        <f>IF(B177="","",IF(LEFT(B177,4)="Plan",IF(E177&lt;=12,0.10,0),IF(LEFT(B177,7)="Cartera",IF(E177&lt;=12,0.06,IF(E177&lt;=24,0.03,0)),"tarifa asesora")))</f>
        <v/>
      </c>
      <c r="G177" s="12">
        <f>IF(OR(D177="",F177=""),"",IF(ISNUMBER(F177),D177*F177,""))</f>
        <v/>
      </c>
    </row>
    <row r="178">
      <c r="C178" s="6" t="n"/>
      <c r="D178" s="12" t="n"/>
      <c r="E178">
        <f>IF(OR(C178="",$B$2=""),"",DATEDIF(C178,EOMONTH($B$2,0),"m")+1)</f>
        <v/>
      </c>
      <c r="F178" s="8">
        <f>IF(B178="","",IF(LEFT(B178,4)="Plan",IF(E178&lt;=12,0.10,0),IF(LEFT(B178,7)="Cartera",IF(E178&lt;=12,0.06,IF(E178&lt;=24,0.03,0)),"tarifa asesora")))</f>
        <v/>
      </c>
      <c r="G178" s="12">
        <f>IF(OR(D178="",F178=""),"",IF(ISNUMBER(F178),D178*F178,""))</f>
        <v/>
      </c>
    </row>
    <row r="179">
      <c r="C179" s="6" t="n"/>
      <c r="D179" s="12" t="n"/>
      <c r="E179">
        <f>IF(OR(C179="",$B$2=""),"",DATEDIF(C179,EOMONTH($B$2,0),"m")+1)</f>
        <v/>
      </c>
      <c r="F179" s="8">
        <f>IF(B179="","",IF(LEFT(B179,4)="Plan",IF(E179&lt;=12,0.10,0),IF(LEFT(B179,7)="Cartera",IF(E179&lt;=12,0.06,IF(E179&lt;=24,0.03,0)),"tarifa asesora")))</f>
        <v/>
      </c>
      <c r="G179" s="12">
        <f>IF(OR(D179="",F179=""),"",IF(ISNUMBER(F179),D179*F179,""))</f>
        <v/>
      </c>
    </row>
    <row r="180">
      <c r="C180" s="6" t="n"/>
      <c r="D180" s="12" t="n"/>
      <c r="E180">
        <f>IF(OR(C180="",$B$2=""),"",DATEDIF(C180,EOMONTH($B$2,0),"m")+1)</f>
        <v/>
      </c>
      <c r="F180" s="8">
        <f>IF(B180="","",IF(LEFT(B180,4)="Plan",IF(E180&lt;=12,0.10,0),IF(LEFT(B180,7)="Cartera",IF(E180&lt;=12,0.06,IF(E180&lt;=24,0.03,0)),"tarifa asesora")))</f>
        <v/>
      </c>
      <c r="G180" s="12">
        <f>IF(OR(D180="",F180=""),"",IF(ISNUMBER(F180),D180*F180,""))</f>
        <v/>
      </c>
    </row>
    <row r="181">
      <c r="C181" s="6" t="n"/>
      <c r="D181" s="12" t="n"/>
      <c r="E181">
        <f>IF(OR(C181="",$B$2=""),"",DATEDIF(C181,EOMONTH($B$2,0),"m")+1)</f>
        <v/>
      </c>
      <c r="F181" s="8">
        <f>IF(B181="","",IF(LEFT(B181,4)="Plan",IF(E181&lt;=12,0.10,0),IF(LEFT(B181,7)="Cartera",IF(E181&lt;=12,0.06,IF(E181&lt;=24,0.03,0)),"tarifa asesora")))</f>
        <v/>
      </c>
      <c r="G181" s="12">
        <f>IF(OR(D181="",F181=""),"",IF(ISNUMBER(F181),D181*F181,""))</f>
        <v/>
      </c>
    </row>
    <row r="182">
      <c r="C182" s="6" t="n"/>
      <c r="D182" s="12" t="n"/>
      <c r="E182">
        <f>IF(OR(C182="",$B$2=""),"",DATEDIF(C182,EOMONTH($B$2,0),"m")+1)</f>
        <v/>
      </c>
      <c r="F182" s="8">
        <f>IF(B182="","",IF(LEFT(B182,4)="Plan",IF(E182&lt;=12,0.10,0),IF(LEFT(B182,7)="Cartera",IF(E182&lt;=12,0.06,IF(E182&lt;=24,0.03,0)),"tarifa asesora")))</f>
        <v/>
      </c>
      <c r="G182" s="12">
        <f>IF(OR(D182="",F182=""),"",IF(ISNUMBER(F182),D182*F182,""))</f>
        <v/>
      </c>
    </row>
    <row r="183">
      <c r="C183" s="6" t="n"/>
      <c r="D183" s="12" t="n"/>
      <c r="E183">
        <f>IF(OR(C183="",$B$2=""),"",DATEDIF(C183,EOMONTH($B$2,0),"m")+1)</f>
        <v/>
      </c>
      <c r="F183" s="8">
        <f>IF(B183="","",IF(LEFT(B183,4)="Plan",IF(E183&lt;=12,0.10,0),IF(LEFT(B183,7)="Cartera",IF(E183&lt;=12,0.06,IF(E183&lt;=24,0.03,0)),"tarifa asesora")))</f>
        <v/>
      </c>
      <c r="G183" s="12">
        <f>IF(OR(D183="",F183=""),"",IF(ISNUMBER(F183),D183*F183,""))</f>
        <v/>
      </c>
    </row>
    <row r="184">
      <c r="C184" s="6" t="n"/>
      <c r="D184" s="12" t="n"/>
      <c r="E184">
        <f>IF(OR(C184="",$B$2=""),"",DATEDIF(C184,EOMONTH($B$2,0),"m")+1)</f>
        <v/>
      </c>
      <c r="F184" s="8">
        <f>IF(B184="","",IF(LEFT(B184,4)="Plan",IF(E184&lt;=12,0.10,0),IF(LEFT(B184,7)="Cartera",IF(E184&lt;=12,0.06,IF(E184&lt;=24,0.03,0)),"tarifa asesora")))</f>
        <v/>
      </c>
      <c r="G184" s="12">
        <f>IF(OR(D184="",F184=""),"",IF(ISNUMBER(F184),D184*F184,""))</f>
        <v/>
      </c>
    </row>
    <row r="185">
      <c r="C185" s="6" t="n"/>
      <c r="D185" s="12" t="n"/>
      <c r="E185">
        <f>IF(OR(C185="",$B$2=""),"",DATEDIF(C185,EOMONTH($B$2,0),"m")+1)</f>
        <v/>
      </c>
      <c r="F185" s="8">
        <f>IF(B185="","",IF(LEFT(B185,4)="Plan",IF(E185&lt;=12,0.10,0),IF(LEFT(B185,7)="Cartera",IF(E185&lt;=12,0.06,IF(E185&lt;=24,0.03,0)),"tarifa asesora")))</f>
        <v/>
      </c>
      <c r="G185" s="12">
        <f>IF(OR(D185="",F185=""),"",IF(ISNUMBER(F185),D185*F185,""))</f>
        <v/>
      </c>
    </row>
    <row r="186">
      <c r="C186" s="6" t="n"/>
      <c r="D186" s="12" t="n"/>
      <c r="E186">
        <f>IF(OR(C186="",$B$2=""),"",DATEDIF(C186,EOMONTH($B$2,0),"m")+1)</f>
        <v/>
      </c>
      <c r="F186" s="8">
        <f>IF(B186="","",IF(LEFT(B186,4)="Plan",IF(E186&lt;=12,0.10,0),IF(LEFT(B186,7)="Cartera",IF(E186&lt;=12,0.06,IF(E186&lt;=24,0.03,0)),"tarifa asesora")))</f>
        <v/>
      </c>
      <c r="G186" s="12">
        <f>IF(OR(D186="",F186=""),"",IF(ISNUMBER(F186),D186*F186,""))</f>
        <v/>
      </c>
    </row>
    <row r="187">
      <c r="C187" s="6" t="n"/>
      <c r="D187" s="12" t="n"/>
      <c r="E187">
        <f>IF(OR(C187="",$B$2=""),"",DATEDIF(C187,EOMONTH($B$2,0),"m")+1)</f>
        <v/>
      </c>
      <c r="F187" s="8">
        <f>IF(B187="","",IF(LEFT(B187,4)="Plan",IF(E187&lt;=12,0.10,0),IF(LEFT(B187,7)="Cartera",IF(E187&lt;=12,0.06,IF(E187&lt;=24,0.03,0)),"tarifa asesora")))</f>
        <v/>
      </c>
      <c r="G187" s="12">
        <f>IF(OR(D187="",F187=""),"",IF(ISNUMBER(F187),D187*F187,""))</f>
        <v/>
      </c>
    </row>
    <row r="188">
      <c r="C188" s="6" t="n"/>
      <c r="D188" s="12" t="n"/>
      <c r="E188">
        <f>IF(OR(C188="",$B$2=""),"",DATEDIF(C188,EOMONTH($B$2,0),"m")+1)</f>
        <v/>
      </c>
      <c r="F188" s="8">
        <f>IF(B188="","",IF(LEFT(B188,4)="Plan",IF(E188&lt;=12,0.10,0),IF(LEFT(B188,7)="Cartera",IF(E188&lt;=12,0.06,IF(E188&lt;=24,0.03,0)),"tarifa asesora")))</f>
        <v/>
      </c>
      <c r="G188" s="12">
        <f>IF(OR(D188="",F188=""),"",IF(ISNUMBER(F188),D188*F188,""))</f>
        <v/>
      </c>
    </row>
    <row r="189">
      <c r="C189" s="6" t="n"/>
      <c r="D189" s="12" t="n"/>
      <c r="E189">
        <f>IF(OR(C189="",$B$2=""),"",DATEDIF(C189,EOMONTH($B$2,0),"m")+1)</f>
        <v/>
      </c>
      <c r="F189" s="8">
        <f>IF(B189="","",IF(LEFT(B189,4)="Plan",IF(E189&lt;=12,0.10,0),IF(LEFT(B189,7)="Cartera",IF(E189&lt;=12,0.06,IF(E189&lt;=24,0.03,0)),"tarifa asesora")))</f>
        <v/>
      </c>
      <c r="G189" s="12">
        <f>IF(OR(D189="",F189=""),"",IF(ISNUMBER(F189),D189*F189,""))</f>
        <v/>
      </c>
    </row>
    <row r="190">
      <c r="C190" s="6" t="n"/>
      <c r="D190" s="12" t="n"/>
      <c r="E190">
        <f>IF(OR(C190="",$B$2=""),"",DATEDIF(C190,EOMONTH($B$2,0),"m")+1)</f>
        <v/>
      </c>
      <c r="F190" s="8">
        <f>IF(B190="","",IF(LEFT(B190,4)="Plan",IF(E190&lt;=12,0.10,0),IF(LEFT(B190,7)="Cartera",IF(E190&lt;=12,0.06,IF(E190&lt;=24,0.03,0)),"tarifa asesora")))</f>
        <v/>
      </c>
      <c r="G190" s="12">
        <f>IF(OR(D190="",F190=""),"",IF(ISNUMBER(F190),D190*F190,""))</f>
        <v/>
      </c>
    </row>
    <row r="191">
      <c r="C191" s="6" t="n"/>
      <c r="D191" s="12" t="n"/>
      <c r="E191">
        <f>IF(OR(C191="",$B$2=""),"",DATEDIF(C191,EOMONTH($B$2,0),"m")+1)</f>
        <v/>
      </c>
      <c r="F191" s="8">
        <f>IF(B191="","",IF(LEFT(B191,4)="Plan",IF(E191&lt;=12,0.10,0),IF(LEFT(B191,7)="Cartera",IF(E191&lt;=12,0.06,IF(E191&lt;=24,0.03,0)),"tarifa asesora")))</f>
        <v/>
      </c>
      <c r="G191" s="12">
        <f>IF(OR(D191="",F191=""),"",IF(ISNUMBER(F191),D191*F191,""))</f>
        <v/>
      </c>
    </row>
    <row r="192">
      <c r="C192" s="6" t="n"/>
      <c r="D192" s="12" t="n"/>
      <c r="E192">
        <f>IF(OR(C192="",$B$2=""),"",DATEDIF(C192,EOMONTH($B$2,0),"m")+1)</f>
        <v/>
      </c>
      <c r="F192" s="8">
        <f>IF(B192="","",IF(LEFT(B192,4)="Plan",IF(E192&lt;=12,0.10,0),IF(LEFT(B192,7)="Cartera",IF(E192&lt;=12,0.06,IF(E192&lt;=24,0.03,0)),"tarifa asesora")))</f>
        <v/>
      </c>
      <c r="G192" s="12">
        <f>IF(OR(D192="",F192=""),"",IF(ISNUMBER(F192),D192*F192,""))</f>
        <v/>
      </c>
    </row>
    <row r="193">
      <c r="C193" s="6" t="n"/>
      <c r="D193" s="12" t="n"/>
      <c r="E193">
        <f>IF(OR(C193="",$B$2=""),"",DATEDIF(C193,EOMONTH($B$2,0),"m")+1)</f>
        <v/>
      </c>
      <c r="F193" s="8">
        <f>IF(B193="","",IF(LEFT(B193,4)="Plan",IF(E193&lt;=12,0.10,0),IF(LEFT(B193,7)="Cartera",IF(E193&lt;=12,0.06,IF(E193&lt;=24,0.03,0)),"tarifa asesora")))</f>
        <v/>
      </c>
      <c r="G193" s="12">
        <f>IF(OR(D193="",F193=""),"",IF(ISNUMBER(F193),D193*F193,""))</f>
        <v/>
      </c>
    </row>
    <row r="194">
      <c r="C194" s="6" t="n"/>
      <c r="D194" s="12" t="n"/>
      <c r="E194">
        <f>IF(OR(C194="",$B$2=""),"",DATEDIF(C194,EOMONTH($B$2,0),"m")+1)</f>
        <v/>
      </c>
      <c r="F194" s="8">
        <f>IF(B194="","",IF(LEFT(B194,4)="Plan",IF(E194&lt;=12,0.10,0),IF(LEFT(B194,7)="Cartera",IF(E194&lt;=12,0.06,IF(E194&lt;=24,0.03,0)),"tarifa asesora")))</f>
        <v/>
      </c>
      <c r="G194" s="12">
        <f>IF(OR(D194="",F194=""),"",IF(ISNUMBER(F194),D194*F194,""))</f>
        <v/>
      </c>
    </row>
    <row r="195">
      <c r="C195" s="6" t="n"/>
      <c r="D195" s="12" t="n"/>
      <c r="E195">
        <f>IF(OR(C195="",$B$2=""),"",DATEDIF(C195,EOMONTH($B$2,0),"m")+1)</f>
        <v/>
      </c>
      <c r="F195" s="8">
        <f>IF(B195="","",IF(LEFT(B195,4)="Plan",IF(E195&lt;=12,0.10,0),IF(LEFT(B195,7)="Cartera",IF(E195&lt;=12,0.06,IF(E195&lt;=24,0.03,0)),"tarifa asesora")))</f>
        <v/>
      </c>
      <c r="G195" s="12">
        <f>IF(OR(D195="",F195=""),"",IF(ISNUMBER(F195),D195*F195,""))</f>
        <v/>
      </c>
    </row>
    <row r="196">
      <c r="C196" s="6" t="n"/>
      <c r="D196" s="12" t="n"/>
      <c r="E196">
        <f>IF(OR(C196="",$B$2=""),"",DATEDIF(C196,EOMONTH($B$2,0),"m")+1)</f>
        <v/>
      </c>
      <c r="F196" s="8">
        <f>IF(B196="","",IF(LEFT(B196,4)="Plan",IF(E196&lt;=12,0.10,0),IF(LEFT(B196,7)="Cartera",IF(E196&lt;=12,0.06,IF(E196&lt;=24,0.03,0)),"tarifa asesora")))</f>
        <v/>
      </c>
      <c r="G196" s="12">
        <f>IF(OR(D196="",F196=""),"",IF(ISNUMBER(F196),D196*F196,""))</f>
        <v/>
      </c>
    </row>
    <row r="197">
      <c r="C197" s="6" t="n"/>
      <c r="D197" s="12" t="n"/>
      <c r="E197">
        <f>IF(OR(C197="",$B$2=""),"",DATEDIF(C197,EOMONTH($B$2,0),"m")+1)</f>
        <v/>
      </c>
      <c r="F197" s="8">
        <f>IF(B197="","",IF(LEFT(B197,4)="Plan",IF(E197&lt;=12,0.10,0),IF(LEFT(B197,7)="Cartera",IF(E197&lt;=12,0.06,IF(E197&lt;=24,0.03,0)),"tarifa asesora")))</f>
        <v/>
      </c>
      <c r="G197" s="12">
        <f>IF(OR(D197="",F197=""),"",IF(ISNUMBER(F197),D197*F197,""))</f>
        <v/>
      </c>
    </row>
    <row r="198">
      <c r="C198" s="6" t="n"/>
      <c r="D198" s="12" t="n"/>
      <c r="E198">
        <f>IF(OR(C198="",$B$2=""),"",DATEDIF(C198,EOMONTH($B$2,0),"m")+1)</f>
        <v/>
      </c>
      <c r="F198" s="8">
        <f>IF(B198="","",IF(LEFT(B198,4)="Plan",IF(E198&lt;=12,0.10,0),IF(LEFT(B198,7)="Cartera",IF(E198&lt;=12,0.06,IF(E198&lt;=24,0.03,0)),"tarifa asesora")))</f>
        <v/>
      </c>
      <c r="G198" s="12">
        <f>IF(OR(D198="",F198=""),"",IF(ISNUMBER(F198),D198*F198,""))</f>
        <v/>
      </c>
    </row>
    <row r="199">
      <c r="C199" s="6" t="n"/>
      <c r="D199" s="12" t="n"/>
      <c r="E199">
        <f>IF(OR(C199="",$B$2=""),"",DATEDIF(C199,EOMONTH($B$2,0),"m")+1)</f>
        <v/>
      </c>
      <c r="F199" s="8">
        <f>IF(B199="","",IF(LEFT(B199,4)="Plan",IF(E199&lt;=12,0.10,0),IF(LEFT(B199,7)="Cartera",IF(E199&lt;=12,0.06,IF(E199&lt;=24,0.03,0)),"tarifa asesora")))</f>
        <v/>
      </c>
      <c r="G199" s="12">
        <f>IF(OR(D199="",F199=""),"",IF(ISNUMBER(F199),D199*F199,""))</f>
        <v/>
      </c>
    </row>
    <row r="200">
      <c r="C200" s="6" t="n"/>
      <c r="D200" s="12" t="n"/>
      <c r="E200">
        <f>IF(OR(C200="",$B$2=""),"",DATEDIF(C200,EOMONTH($B$2,0),"m")+1)</f>
        <v/>
      </c>
      <c r="F200" s="8">
        <f>IF(B200="","",IF(LEFT(B200,4)="Plan",IF(E200&lt;=12,0.10,0),IF(LEFT(B200,7)="Cartera",IF(E200&lt;=12,0.06,IF(E200&lt;=24,0.03,0)),"tarifa asesora")))</f>
        <v/>
      </c>
      <c r="G200" s="12">
        <f>IF(OR(D200="",F200=""),"",IF(ISNUMBER(F200),D200*F200,""))</f>
        <v/>
      </c>
    </row>
    <row r="201">
      <c r="C201" s="6" t="n"/>
      <c r="D201" s="12" t="n"/>
      <c r="E201">
        <f>IF(OR(C201="",$B$2=""),"",DATEDIF(C201,EOMONTH($B$2,0),"m")+1)</f>
        <v/>
      </c>
      <c r="F201" s="8">
        <f>IF(B201="","",IF(LEFT(B201,4)="Plan",IF(E201&lt;=12,0.10,0),IF(LEFT(B201,7)="Cartera",IF(E201&lt;=12,0.06,IF(E201&lt;=24,0.03,0)),"tarifa asesora")))</f>
        <v/>
      </c>
      <c r="G201" s="12">
        <f>IF(OR(D201="",F201=""),"",IF(ISNUMBER(F201),D201*F201,""))</f>
        <v/>
      </c>
    </row>
    <row r="202">
      <c r="C202" s="6" t="n"/>
      <c r="D202" s="12" t="n"/>
      <c r="E202">
        <f>IF(OR(C202="",$B$2=""),"",DATEDIF(C202,EOMONTH($B$2,0),"m")+1)</f>
        <v/>
      </c>
      <c r="F202" s="8">
        <f>IF(B202="","",IF(LEFT(B202,4)="Plan",IF(E202&lt;=12,0.10,0),IF(LEFT(B202,7)="Cartera",IF(E202&lt;=12,0.06,IF(E202&lt;=24,0.03,0)),"tarifa asesora")))</f>
        <v/>
      </c>
      <c r="G202" s="12">
        <f>IF(OR(D202="",F202=""),"",IF(ISNUMBER(F202),D202*F202,""))</f>
        <v/>
      </c>
    </row>
    <row r="203">
      <c r="C203" s="6" t="n"/>
      <c r="D203" s="12" t="n"/>
      <c r="E203">
        <f>IF(OR(C203="",$B$2=""),"",DATEDIF(C203,EOMONTH($B$2,0),"m")+1)</f>
        <v/>
      </c>
      <c r="F203" s="8">
        <f>IF(B203="","",IF(LEFT(B203,4)="Plan",IF(E203&lt;=12,0.10,0),IF(LEFT(B203,7)="Cartera",IF(E203&lt;=12,0.06,IF(E203&lt;=24,0.03,0)),"tarifa asesora")))</f>
        <v/>
      </c>
      <c r="G203" s="12">
        <f>IF(OR(D203="",F203=""),"",IF(ISNUMBER(F203),D203*F203,""))</f>
        <v/>
      </c>
    </row>
    <row r="204">
      <c r="C204" s="6" t="n"/>
      <c r="D204" s="12" t="n"/>
      <c r="E204">
        <f>IF(OR(C204="",$B$2=""),"",DATEDIF(C204,EOMONTH($B$2,0),"m")+1)</f>
        <v/>
      </c>
      <c r="F204" s="8">
        <f>IF(B204="","",IF(LEFT(B204,4)="Plan",IF(E204&lt;=12,0.10,0),IF(LEFT(B204,7)="Cartera",IF(E204&lt;=12,0.06,IF(E204&lt;=24,0.03,0)),"tarifa asesora")))</f>
        <v/>
      </c>
      <c r="G204" s="12">
        <f>IF(OR(D204="",F204=""),"",IF(ISNUMBER(F204),D204*F204,""))</f>
        <v/>
      </c>
    </row>
    <row r="205">
      <c r="C205" s="6" t="n"/>
      <c r="D205" s="12" t="n"/>
      <c r="E205">
        <f>IF(OR(C205="",$B$2=""),"",DATEDIF(C205,EOMONTH($B$2,0),"m")+1)</f>
        <v/>
      </c>
      <c r="F205" s="8">
        <f>IF(B205="","",IF(LEFT(B205,4)="Plan",IF(E205&lt;=12,0.10,0),IF(LEFT(B205,7)="Cartera",IF(E205&lt;=12,0.06,IF(E205&lt;=24,0.03,0)),"tarifa asesora")))</f>
        <v/>
      </c>
      <c r="G205" s="12">
        <f>IF(OR(D205="",F205=""),"",IF(ISNUMBER(F205),D205*F205,""))</f>
        <v/>
      </c>
    </row>
    <row r="206">
      <c r="C206" s="6" t="n"/>
      <c r="D206" s="12" t="n"/>
      <c r="E206">
        <f>IF(OR(C206="",$B$2=""),"",DATEDIF(C206,EOMONTH($B$2,0),"m")+1)</f>
        <v/>
      </c>
      <c r="F206" s="8">
        <f>IF(B206="","",IF(LEFT(B206,4)="Plan",IF(E206&lt;=12,0.10,0),IF(LEFT(B206,7)="Cartera",IF(E206&lt;=12,0.06,IF(E206&lt;=24,0.03,0)),"tarifa asesora")))</f>
        <v/>
      </c>
      <c r="G206" s="12">
        <f>IF(OR(D206="",F206=""),"",IF(ISNUMBER(F206),D206*F206,""))</f>
        <v/>
      </c>
    </row>
    <row r="207">
      <c r="C207" s="6" t="n"/>
      <c r="D207" s="12" t="n"/>
      <c r="E207">
        <f>IF(OR(C207="",$B$2=""),"",DATEDIF(C207,EOMONTH($B$2,0),"m")+1)</f>
        <v/>
      </c>
      <c r="F207" s="8">
        <f>IF(B207="","",IF(LEFT(B207,4)="Plan",IF(E207&lt;=12,0.10,0),IF(LEFT(B207,7)="Cartera",IF(E207&lt;=12,0.06,IF(E207&lt;=24,0.03,0)),"tarifa asesora")))</f>
        <v/>
      </c>
      <c r="G207" s="12">
        <f>IF(OR(D207="",F207=""),"",IF(ISNUMBER(F207),D207*F207,""))</f>
        <v/>
      </c>
    </row>
    <row r="208">
      <c r="C208" s="6" t="n"/>
      <c r="D208" s="12" t="n"/>
      <c r="E208">
        <f>IF(OR(C208="",$B$2=""),"",DATEDIF(C208,EOMONTH($B$2,0),"m")+1)</f>
        <v/>
      </c>
      <c r="F208" s="8">
        <f>IF(B208="","",IF(LEFT(B208,4)="Plan",IF(E208&lt;=12,0.10,0),IF(LEFT(B208,7)="Cartera",IF(E208&lt;=12,0.06,IF(E208&lt;=24,0.03,0)),"tarifa asesora")))</f>
        <v/>
      </c>
      <c r="G208" s="12">
        <f>IF(OR(D208="",F208=""),"",IF(ISNUMBER(F208),D208*F208,""))</f>
        <v/>
      </c>
    </row>
    <row r="209">
      <c r="C209" s="6" t="n"/>
      <c r="D209" s="12" t="n"/>
      <c r="E209">
        <f>IF(OR(C209="",$B$2=""),"",DATEDIF(C209,EOMONTH($B$2,0),"m")+1)</f>
        <v/>
      </c>
      <c r="F209" s="8">
        <f>IF(B209="","",IF(LEFT(B209,4)="Plan",IF(E209&lt;=12,0.10,0),IF(LEFT(B209,7)="Cartera",IF(E209&lt;=12,0.06,IF(E209&lt;=24,0.03,0)),"tarifa asesora")))</f>
        <v/>
      </c>
      <c r="G209" s="12">
        <f>IF(OR(D209="",F209=""),"",IF(ISNUMBER(F209),D209*F209,""))</f>
        <v/>
      </c>
    </row>
    <row r="210">
      <c r="C210" s="6" t="n"/>
      <c r="D210" s="12" t="n"/>
      <c r="E210">
        <f>IF(OR(C210="",$B$2=""),"",DATEDIF(C210,EOMONTH($B$2,0),"m")+1)</f>
        <v/>
      </c>
      <c r="F210" s="8">
        <f>IF(B210="","",IF(LEFT(B210,4)="Plan",IF(E210&lt;=12,0.10,0),IF(LEFT(B210,7)="Cartera",IF(E210&lt;=12,0.06,IF(E210&lt;=24,0.03,0)),"tarifa asesora")))</f>
        <v/>
      </c>
      <c r="G210" s="12">
        <f>IF(OR(D210="",F210=""),"",IF(ISNUMBER(F210),D210*F210,""))</f>
        <v/>
      </c>
    </row>
    <row r="211">
      <c r="C211" s="6" t="n"/>
      <c r="D211" s="12" t="n"/>
      <c r="E211">
        <f>IF(OR(C211="",$B$2=""),"",DATEDIF(C211,EOMONTH($B$2,0),"m")+1)</f>
        <v/>
      </c>
      <c r="F211" s="8">
        <f>IF(B211="","",IF(LEFT(B211,4)="Plan",IF(E211&lt;=12,0.10,0),IF(LEFT(B211,7)="Cartera",IF(E211&lt;=12,0.06,IF(E211&lt;=24,0.03,0)),"tarifa asesora")))</f>
        <v/>
      </c>
      <c r="G211" s="12">
        <f>IF(OR(D211="",F211=""),"",IF(ISNUMBER(F211),D211*F211,""))</f>
        <v/>
      </c>
    </row>
    <row r="212">
      <c r="C212" s="6" t="n"/>
      <c r="D212" s="12" t="n"/>
      <c r="E212">
        <f>IF(OR(C212="",$B$2=""),"",DATEDIF(C212,EOMONTH($B$2,0),"m")+1)</f>
        <v/>
      </c>
      <c r="F212" s="8">
        <f>IF(B212="","",IF(LEFT(B212,4)="Plan",IF(E212&lt;=12,0.10,0),IF(LEFT(B212,7)="Cartera",IF(E212&lt;=12,0.06,IF(E212&lt;=24,0.03,0)),"tarifa asesora")))</f>
        <v/>
      </c>
      <c r="G212" s="12">
        <f>IF(OR(D212="",F212=""),"",IF(ISNUMBER(F212),D212*F212,""))</f>
        <v/>
      </c>
    </row>
    <row r="213">
      <c r="C213" s="6" t="n"/>
      <c r="D213" s="12" t="n"/>
      <c r="E213">
        <f>IF(OR(C213="",$B$2=""),"",DATEDIF(C213,EOMONTH($B$2,0),"m")+1)</f>
        <v/>
      </c>
      <c r="F213" s="8">
        <f>IF(B213="","",IF(LEFT(B213,4)="Plan",IF(E213&lt;=12,0.10,0),IF(LEFT(B213,7)="Cartera",IF(E213&lt;=12,0.06,IF(E213&lt;=24,0.03,0)),"tarifa asesora")))</f>
        <v/>
      </c>
      <c r="G213" s="12">
        <f>IF(OR(D213="",F213=""),"",IF(ISNUMBER(F213),D213*F213,""))</f>
        <v/>
      </c>
    </row>
    <row r="214">
      <c r="C214" s="6" t="n"/>
      <c r="D214" s="12" t="n"/>
      <c r="E214">
        <f>IF(OR(C214="",$B$2=""),"",DATEDIF(C214,EOMONTH($B$2,0),"m")+1)</f>
        <v/>
      </c>
      <c r="F214" s="8">
        <f>IF(B214="","",IF(LEFT(B214,4)="Plan",IF(E214&lt;=12,0.10,0),IF(LEFT(B214,7)="Cartera",IF(E214&lt;=12,0.06,IF(E214&lt;=24,0.03,0)),"tarifa asesora")))</f>
        <v/>
      </c>
      <c r="G214" s="12">
        <f>IF(OR(D214="",F214=""),"",IF(ISNUMBER(F214),D214*F214,""))</f>
        <v/>
      </c>
    </row>
    <row r="215">
      <c r="C215" s="6" t="n"/>
      <c r="D215" s="12" t="n"/>
      <c r="E215">
        <f>IF(OR(C215="",$B$2=""),"",DATEDIF(C215,EOMONTH($B$2,0),"m")+1)</f>
        <v/>
      </c>
      <c r="F215" s="8">
        <f>IF(B215="","",IF(LEFT(B215,4)="Plan",IF(E215&lt;=12,0.10,0),IF(LEFT(B215,7)="Cartera",IF(E215&lt;=12,0.06,IF(E215&lt;=24,0.03,0)),"tarifa asesora")))</f>
        <v/>
      </c>
      <c r="G215" s="12">
        <f>IF(OR(D215="",F215=""),"",IF(ISNUMBER(F215),D215*F215,""))</f>
        <v/>
      </c>
    </row>
    <row r="216">
      <c r="C216" s="6" t="n"/>
      <c r="D216" s="12" t="n"/>
      <c r="E216">
        <f>IF(OR(C216="",$B$2=""),"",DATEDIF(C216,EOMONTH($B$2,0),"m")+1)</f>
        <v/>
      </c>
      <c r="F216" s="8">
        <f>IF(B216="","",IF(LEFT(B216,4)="Plan",IF(E216&lt;=12,0.10,0),IF(LEFT(B216,7)="Cartera",IF(E216&lt;=12,0.06,IF(E216&lt;=24,0.03,0)),"tarifa asesora")))</f>
        <v/>
      </c>
      <c r="G216" s="12">
        <f>IF(OR(D216="",F216=""),"",IF(ISNUMBER(F216),D216*F216,""))</f>
        <v/>
      </c>
    </row>
    <row r="217">
      <c r="C217" s="6" t="n"/>
      <c r="D217" s="12" t="n"/>
      <c r="E217">
        <f>IF(OR(C217="",$B$2=""),"",DATEDIF(C217,EOMONTH($B$2,0),"m")+1)</f>
        <v/>
      </c>
      <c r="F217" s="8">
        <f>IF(B217="","",IF(LEFT(B217,4)="Plan",IF(E217&lt;=12,0.10,0),IF(LEFT(B217,7)="Cartera",IF(E217&lt;=12,0.06,IF(E217&lt;=24,0.03,0)),"tarifa asesora")))</f>
        <v/>
      </c>
      <c r="G217" s="12">
        <f>IF(OR(D217="",F217=""),"",IF(ISNUMBER(F217),D217*F217,""))</f>
        <v/>
      </c>
    </row>
    <row r="218">
      <c r="C218" s="6" t="n"/>
      <c r="D218" s="12" t="n"/>
      <c r="E218">
        <f>IF(OR(C218="",$B$2=""),"",DATEDIF(C218,EOMONTH($B$2,0),"m")+1)</f>
        <v/>
      </c>
      <c r="F218" s="8">
        <f>IF(B218="","",IF(LEFT(B218,4)="Plan",IF(E218&lt;=12,0.10,0),IF(LEFT(B218,7)="Cartera",IF(E218&lt;=12,0.06,IF(E218&lt;=24,0.03,0)),"tarifa asesora")))</f>
        <v/>
      </c>
      <c r="G218" s="12">
        <f>IF(OR(D218="",F218=""),"",IF(ISNUMBER(F218),D218*F218,""))</f>
        <v/>
      </c>
    </row>
    <row r="219">
      <c r="C219" s="6" t="n"/>
      <c r="D219" s="12" t="n"/>
      <c r="E219">
        <f>IF(OR(C219="",$B$2=""),"",DATEDIF(C219,EOMONTH($B$2,0),"m")+1)</f>
        <v/>
      </c>
      <c r="F219" s="8">
        <f>IF(B219="","",IF(LEFT(B219,4)="Plan",IF(E219&lt;=12,0.10,0),IF(LEFT(B219,7)="Cartera",IF(E219&lt;=12,0.06,IF(E219&lt;=24,0.03,0)),"tarifa asesora")))</f>
        <v/>
      </c>
      <c r="G219" s="12">
        <f>IF(OR(D219="",F219=""),"",IF(ISNUMBER(F219),D219*F219,""))</f>
        <v/>
      </c>
    </row>
    <row r="220">
      <c r="C220" s="6" t="n"/>
      <c r="D220" s="12" t="n"/>
      <c r="E220">
        <f>IF(OR(C220="",$B$2=""),"",DATEDIF(C220,EOMONTH($B$2,0),"m")+1)</f>
        <v/>
      </c>
      <c r="F220" s="8">
        <f>IF(B220="","",IF(LEFT(B220,4)="Plan",IF(E220&lt;=12,0.10,0),IF(LEFT(B220,7)="Cartera",IF(E220&lt;=12,0.06,IF(E220&lt;=24,0.03,0)),"tarifa asesora")))</f>
        <v/>
      </c>
      <c r="G220" s="12">
        <f>IF(OR(D220="",F220=""),"",IF(ISNUMBER(F220),D220*F220,""))</f>
        <v/>
      </c>
    </row>
    <row r="221">
      <c r="C221" s="6" t="n"/>
      <c r="D221" s="12" t="n"/>
      <c r="E221">
        <f>IF(OR(C221="",$B$2=""),"",DATEDIF(C221,EOMONTH($B$2,0),"m")+1)</f>
        <v/>
      </c>
      <c r="F221" s="8">
        <f>IF(B221="","",IF(LEFT(B221,4)="Plan",IF(E221&lt;=12,0.10,0),IF(LEFT(B221,7)="Cartera",IF(E221&lt;=12,0.06,IF(E221&lt;=24,0.03,0)),"tarifa asesora")))</f>
        <v/>
      </c>
      <c r="G221" s="12">
        <f>IF(OR(D221="",F221=""),"",IF(ISNUMBER(F221),D221*F221,""))</f>
        <v/>
      </c>
    </row>
    <row r="222">
      <c r="C222" s="6" t="n"/>
      <c r="D222" s="12" t="n"/>
      <c r="E222">
        <f>IF(OR(C222="",$B$2=""),"",DATEDIF(C222,EOMONTH($B$2,0),"m")+1)</f>
        <v/>
      </c>
      <c r="F222" s="8">
        <f>IF(B222="","",IF(LEFT(B222,4)="Plan",IF(E222&lt;=12,0.10,0),IF(LEFT(B222,7)="Cartera",IF(E222&lt;=12,0.06,IF(E222&lt;=24,0.03,0)),"tarifa asesora")))</f>
        <v/>
      </c>
      <c r="G222" s="12">
        <f>IF(OR(D222="",F222=""),"",IF(ISNUMBER(F222),D222*F222,""))</f>
        <v/>
      </c>
    </row>
    <row r="223">
      <c r="C223" s="6" t="n"/>
      <c r="D223" s="12" t="n"/>
      <c r="E223">
        <f>IF(OR(C223="",$B$2=""),"",DATEDIF(C223,EOMONTH($B$2,0),"m")+1)</f>
        <v/>
      </c>
      <c r="F223" s="8">
        <f>IF(B223="","",IF(LEFT(B223,4)="Plan",IF(E223&lt;=12,0.10,0),IF(LEFT(B223,7)="Cartera",IF(E223&lt;=12,0.06,IF(E223&lt;=24,0.03,0)),"tarifa asesora")))</f>
        <v/>
      </c>
      <c r="G223" s="12">
        <f>IF(OR(D223="",F223=""),"",IF(ISNUMBER(F223),D223*F223,""))</f>
        <v/>
      </c>
    </row>
    <row r="224">
      <c r="C224" s="6" t="n"/>
      <c r="D224" s="12" t="n"/>
      <c r="E224">
        <f>IF(OR(C224="",$B$2=""),"",DATEDIF(C224,EOMONTH($B$2,0),"m")+1)</f>
        <v/>
      </c>
      <c r="F224" s="8">
        <f>IF(B224="","",IF(LEFT(B224,4)="Plan",IF(E224&lt;=12,0.10,0),IF(LEFT(B224,7)="Cartera",IF(E224&lt;=12,0.06,IF(E224&lt;=24,0.03,0)),"tarifa asesora")))</f>
        <v/>
      </c>
      <c r="G224" s="12">
        <f>IF(OR(D224="",F224=""),"",IF(ISNUMBER(F224),D224*F224,""))</f>
        <v/>
      </c>
    </row>
    <row r="225">
      <c r="C225" s="6" t="n"/>
      <c r="D225" s="12" t="n"/>
      <c r="E225">
        <f>IF(OR(C225="",$B$2=""),"",DATEDIF(C225,EOMONTH($B$2,0),"m")+1)</f>
        <v/>
      </c>
      <c r="F225" s="8">
        <f>IF(B225="","",IF(LEFT(B225,4)="Plan",IF(E225&lt;=12,0.10,0),IF(LEFT(B225,7)="Cartera",IF(E225&lt;=12,0.06,IF(E225&lt;=24,0.03,0)),"tarifa asesora")))</f>
        <v/>
      </c>
      <c r="G225" s="12">
        <f>IF(OR(D225="",F225=""),"",IF(ISNUMBER(F225),D225*F225,""))</f>
        <v/>
      </c>
    </row>
    <row r="226">
      <c r="C226" s="6" t="n"/>
      <c r="D226" s="12" t="n"/>
      <c r="E226">
        <f>IF(OR(C226="",$B$2=""),"",DATEDIF(C226,EOMONTH($B$2,0),"m")+1)</f>
        <v/>
      </c>
      <c r="F226" s="8">
        <f>IF(B226="","",IF(LEFT(B226,4)="Plan",IF(E226&lt;=12,0.10,0),IF(LEFT(B226,7)="Cartera",IF(E226&lt;=12,0.06,IF(E226&lt;=24,0.03,0)),"tarifa asesora")))</f>
        <v/>
      </c>
      <c r="G226" s="12">
        <f>IF(OR(D226="",F226=""),"",IF(ISNUMBER(F226),D226*F226,""))</f>
        <v/>
      </c>
    </row>
    <row r="227">
      <c r="C227" s="6" t="n"/>
      <c r="D227" s="12" t="n"/>
      <c r="E227">
        <f>IF(OR(C227="",$B$2=""),"",DATEDIF(C227,EOMONTH($B$2,0),"m")+1)</f>
        <v/>
      </c>
      <c r="F227" s="8">
        <f>IF(B227="","",IF(LEFT(B227,4)="Plan",IF(E227&lt;=12,0.10,0),IF(LEFT(B227,7)="Cartera",IF(E227&lt;=12,0.06,IF(E227&lt;=24,0.03,0)),"tarifa asesora")))</f>
        <v/>
      </c>
      <c r="G227" s="12">
        <f>IF(OR(D227="",F227=""),"",IF(ISNUMBER(F227),D227*F227,""))</f>
        <v/>
      </c>
    </row>
    <row r="228">
      <c r="C228" s="6" t="n"/>
      <c r="D228" s="12" t="n"/>
      <c r="E228">
        <f>IF(OR(C228="",$B$2=""),"",DATEDIF(C228,EOMONTH($B$2,0),"m")+1)</f>
        <v/>
      </c>
      <c r="F228" s="8">
        <f>IF(B228="","",IF(LEFT(B228,4)="Plan",IF(E228&lt;=12,0.10,0),IF(LEFT(B228,7)="Cartera",IF(E228&lt;=12,0.06,IF(E228&lt;=24,0.03,0)),"tarifa asesora")))</f>
        <v/>
      </c>
      <c r="G228" s="12">
        <f>IF(OR(D228="",F228=""),"",IF(ISNUMBER(F228),D228*F228,""))</f>
        <v/>
      </c>
    </row>
    <row r="229">
      <c r="C229" s="6" t="n"/>
      <c r="D229" s="12" t="n"/>
      <c r="E229">
        <f>IF(OR(C229="",$B$2=""),"",DATEDIF(C229,EOMONTH($B$2,0),"m")+1)</f>
        <v/>
      </c>
      <c r="F229" s="8">
        <f>IF(B229="","",IF(LEFT(B229,4)="Plan",IF(E229&lt;=12,0.10,0),IF(LEFT(B229,7)="Cartera",IF(E229&lt;=12,0.06,IF(E229&lt;=24,0.03,0)),"tarifa asesora")))</f>
        <v/>
      </c>
      <c r="G229" s="12">
        <f>IF(OR(D229="",F229=""),"",IF(ISNUMBER(F229),D229*F229,""))</f>
        <v/>
      </c>
    </row>
    <row r="230">
      <c r="C230" s="6" t="n"/>
      <c r="D230" s="12" t="n"/>
      <c r="E230">
        <f>IF(OR(C230="",$B$2=""),"",DATEDIF(C230,EOMONTH($B$2,0),"m")+1)</f>
        <v/>
      </c>
      <c r="F230" s="8">
        <f>IF(B230="","",IF(LEFT(B230,4)="Plan",IF(E230&lt;=12,0.10,0),IF(LEFT(B230,7)="Cartera",IF(E230&lt;=12,0.06,IF(E230&lt;=24,0.03,0)),"tarifa asesora")))</f>
        <v/>
      </c>
      <c r="G230" s="12">
        <f>IF(OR(D230="",F230=""),"",IF(ISNUMBER(F230),D230*F230,""))</f>
        <v/>
      </c>
    </row>
    <row r="231">
      <c r="C231" s="6" t="n"/>
      <c r="D231" s="12" t="n"/>
      <c r="E231">
        <f>IF(OR(C231="",$B$2=""),"",DATEDIF(C231,EOMONTH($B$2,0),"m")+1)</f>
        <v/>
      </c>
      <c r="F231" s="8">
        <f>IF(B231="","",IF(LEFT(B231,4)="Plan",IF(E231&lt;=12,0.10,0),IF(LEFT(B231,7)="Cartera",IF(E231&lt;=12,0.06,IF(E231&lt;=24,0.03,0)),"tarifa asesora")))</f>
        <v/>
      </c>
      <c r="G231" s="12">
        <f>IF(OR(D231="",F231=""),"",IF(ISNUMBER(F231),D231*F231,""))</f>
        <v/>
      </c>
    </row>
    <row r="232">
      <c r="C232" s="6" t="n"/>
      <c r="D232" s="12" t="n"/>
      <c r="E232">
        <f>IF(OR(C232="",$B$2=""),"",DATEDIF(C232,EOMONTH($B$2,0),"m")+1)</f>
        <v/>
      </c>
      <c r="F232" s="8">
        <f>IF(B232="","",IF(LEFT(B232,4)="Plan",IF(E232&lt;=12,0.10,0),IF(LEFT(B232,7)="Cartera",IF(E232&lt;=12,0.06,IF(E232&lt;=24,0.03,0)),"tarifa asesora")))</f>
        <v/>
      </c>
      <c r="G232" s="12">
        <f>IF(OR(D232="",F232=""),"",IF(ISNUMBER(F232),D232*F232,""))</f>
        <v/>
      </c>
    </row>
    <row r="233">
      <c r="C233" s="6" t="n"/>
      <c r="D233" s="12" t="n"/>
      <c r="E233">
        <f>IF(OR(C233="",$B$2=""),"",DATEDIF(C233,EOMONTH($B$2,0),"m")+1)</f>
        <v/>
      </c>
      <c r="F233" s="8">
        <f>IF(B233="","",IF(LEFT(B233,4)="Plan",IF(E233&lt;=12,0.10,0),IF(LEFT(B233,7)="Cartera",IF(E233&lt;=12,0.06,IF(E233&lt;=24,0.03,0)),"tarifa asesora")))</f>
        <v/>
      </c>
      <c r="G233" s="12">
        <f>IF(OR(D233="",F233=""),"",IF(ISNUMBER(F233),D233*F233,""))</f>
        <v/>
      </c>
    </row>
    <row r="234">
      <c r="C234" s="6" t="n"/>
      <c r="D234" s="12" t="n"/>
      <c r="E234">
        <f>IF(OR(C234="",$B$2=""),"",DATEDIF(C234,EOMONTH($B$2,0),"m")+1)</f>
        <v/>
      </c>
      <c r="F234" s="8">
        <f>IF(B234="","",IF(LEFT(B234,4)="Plan",IF(E234&lt;=12,0.10,0),IF(LEFT(B234,7)="Cartera",IF(E234&lt;=12,0.06,IF(E234&lt;=24,0.03,0)),"tarifa asesora")))</f>
        <v/>
      </c>
      <c r="G234" s="12">
        <f>IF(OR(D234="",F234=""),"",IF(ISNUMBER(F234),D234*F234,""))</f>
        <v/>
      </c>
    </row>
    <row r="235">
      <c r="C235" s="6" t="n"/>
      <c r="D235" s="12" t="n"/>
      <c r="E235">
        <f>IF(OR(C235="",$B$2=""),"",DATEDIF(C235,EOMONTH($B$2,0),"m")+1)</f>
        <v/>
      </c>
      <c r="F235" s="8">
        <f>IF(B235="","",IF(LEFT(B235,4)="Plan",IF(E235&lt;=12,0.10,0),IF(LEFT(B235,7)="Cartera",IF(E235&lt;=12,0.06,IF(E235&lt;=24,0.03,0)),"tarifa asesora")))</f>
        <v/>
      </c>
      <c r="G235" s="12">
        <f>IF(OR(D235="",F235=""),"",IF(ISNUMBER(F235),D235*F235,""))</f>
        <v/>
      </c>
    </row>
    <row r="236">
      <c r="C236" s="6" t="n"/>
      <c r="D236" s="12" t="n"/>
      <c r="E236">
        <f>IF(OR(C236="",$B$2=""),"",DATEDIF(C236,EOMONTH($B$2,0),"m")+1)</f>
        <v/>
      </c>
      <c r="F236" s="8">
        <f>IF(B236="","",IF(LEFT(B236,4)="Plan",IF(E236&lt;=12,0.10,0),IF(LEFT(B236,7)="Cartera",IF(E236&lt;=12,0.06,IF(E236&lt;=24,0.03,0)),"tarifa asesora")))</f>
        <v/>
      </c>
      <c r="G236" s="12">
        <f>IF(OR(D236="",F236=""),"",IF(ISNUMBER(F236),D236*F236,""))</f>
        <v/>
      </c>
    </row>
    <row r="237">
      <c r="C237" s="6" t="n"/>
      <c r="D237" s="12" t="n"/>
      <c r="E237">
        <f>IF(OR(C237="",$B$2=""),"",DATEDIF(C237,EOMONTH($B$2,0),"m")+1)</f>
        <v/>
      </c>
      <c r="F237" s="8">
        <f>IF(B237="","",IF(LEFT(B237,4)="Plan",IF(E237&lt;=12,0.10,0),IF(LEFT(B237,7)="Cartera",IF(E237&lt;=12,0.06,IF(E237&lt;=24,0.03,0)),"tarifa asesora")))</f>
        <v/>
      </c>
      <c r="G237" s="12">
        <f>IF(OR(D237="",F237=""),"",IF(ISNUMBER(F237),D237*F237,""))</f>
        <v/>
      </c>
    </row>
    <row r="238">
      <c r="C238" s="6" t="n"/>
      <c r="D238" s="12" t="n"/>
      <c r="E238">
        <f>IF(OR(C238="",$B$2=""),"",DATEDIF(C238,EOMONTH($B$2,0),"m")+1)</f>
        <v/>
      </c>
      <c r="F238" s="8">
        <f>IF(B238="","",IF(LEFT(B238,4)="Plan",IF(E238&lt;=12,0.10,0),IF(LEFT(B238,7)="Cartera",IF(E238&lt;=12,0.06,IF(E238&lt;=24,0.03,0)),"tarifa asesora")))</f>
        <v/>
      </c>
      <c r="G238" s="12">
        <f>IF(OR(D238="",F238=""),"",IF(ISNUMBER(F238),D238*F238,""))</f>
        <v/>
      </c>
    </row>
    <row r="239">
      <c r="C239" s="6" t="n"/>
      <c r="D239" s="12" t="n"/>
      <c r="E239">
        <f>IF(OR(C239="",$B$2=""),"",DATEDIF(C239,EOMONTH($B$2,0),"m")+1)</f>
        <v/>
      </c>
      <c r="F239" s="8">
        <f>IF(B239="","",IF(LEFT(B239,4)="Plan",IF(E239&lt;=12,0.10,0),IF(LEFT(B239,7)="Cartera",IF(E239&lt;=12,0.06,IF(E239&lt;=24,0.03,0)),"tarifa asesora")))</f>
        <v/>
      </c>
      <c r="G239" s="12">
        <f>IF(OR(D239="",F239=""),"",IF(ISNUMBER(F239),D239*F239,""))</f>
        <v/>
      </c>
    </row>
    <row r="240">
      <c r="C240" s="6" t="n"/>
      <c r="D240" s="12" t="n"/>
      <c r="E240">
        <f>IF(OR(C240="",$B$2=""),"",DATEDIF(C240,EOMONTH($B$2,0),"m")+1)</f>
        <v/>
      </c>
      <c r="F240" s="8">
        <f>IF(B240="","",IF(LEFT(B240,4)="Plan",IF(E240&lt;=12,0.10,0),IF(LEFT(B240,7)="Cartera",IF(E240&lt;=12,0.06,IF(E240&lt;=24,0.03,0)),"tarifa asesora")))</f>
        <v/>
      </c>
      <c r="G240" s="12">
        <f>IF(OR(D240="",F240=""),"",IF(ISNUMBER(F240),D240*F240,""))</f>
        <v/>
      </c>
    </row>
    <row r="241">
      <c r="C241" s="6" t="n"/>
      <c r="D241" s="12" t="n"/>
      <c r="E241">
        <f>IF(OR(C241="",$B$2=""),"",DATEDIF(C241,EOMONTH($B$2,0),"m")+1)</f>
        <v/>
      </c>
      <c r="F241" s="8">
        <f>IF(B241="","",IF(LEFT(B241,4)="Plan",IF(E241&lt;=12,0.10,0),IF(LEFT(B241,7)="Cartera",IF(E241&lt;=12,0.06,IF(E241&lt;=24,0.03,0)),"tarifa asesora")))</f>
        <v/>
      </c>
      <c r="G241" s="12">
        <f>IF(OR(D241="",F241=""),"",IF(ISNUMBER(F241),D241*F241,""))</f>
        <v/>
      </c>
    </row>
    <row r="242">
      <c r="C242" s="6" t="n"/>
      <c r="D242" s="12" t="n"/>
      <c r="E242">
        <f>IF(OR(C242="",$B$2=""),"",DATEDIF(C242,EOMONTH($B$2,0),"m")+1)</f>
        <v/>
      </c>
      <c r="F242" s="8">
        <f>IF(B242="","",IF(LEFT(B242,4)="Plan",IF(E242&lt;=12,0.10,0),IF(LEFT(B242,7)="Cartera",IF(E242&lt;=12,0.06,IF(E242&lt;=24,0.03,0)),"tarifa asesora")))</f>
        <v/>
      </c>
      <c r="G242" s="12">
        <f>IF(OR(D242="",F242=""),"",IF(ISNUMBER(F242),D242*F242,""))</f>
        <v/>
      </c>
    </row>
    <row r="243">
      <c r="C243" s="6" t="n"/>
      <c r="D243" s="12" t="n"/>
      <c r="E243">
        <f>IF(OR(C243="",$B$2=""),"",DATEDIF(C243,EOMONTH($B$2,0),"m")+1)</f>
        <v/>
      </c>
      <c r="F243" s="8">
        <f>IF(B243="","",IF(LEFT(B243,4)="Plan",IF(E243&lt;=12,0.10,0),IF(LEFT(B243,7)="Cartera",IF(E243&lt;=12,0.06,IF(E243&lt;=24,0.03,0)),"tarifa asesora")))</f>
        <v/>
      </c>
      <c r="G243" s="12">
        <f>IF(OR(D243="",F243=""),"",IF(ISNUMBER(F243),D243*F243,""))</f>
        <v/>
      </c>
    </row>
    <row r="244">
      <c r="C244" s="6" t="n"/>
      <c r="D244" s="12" t="n"/>
      <c r="E244">
        <f>IF(OR(C244="",$B$2=""),"",DATEDIF(C244,EOMONTH($B$2,0),"m")+1)</f>
        <v/>
      </c>
      <c r="F244" s="8">
        <f>IF(B244="","",IF(LEFT(B244,4)="Plan",IF(E244&lt;=12,0.10,0),IF(LEFT(B244,7)="Cartera",IF(E244&lt;=12,0.06,IF(E244&lt;=24,0.03,0)),"tarifa asesora")))</f>
        <v/>
      </c>
      <c r="G244" s="12">
        <f>IF(OR(D244="",F244=""),"",IF(ISNUMBER(F244),D244*F244,""))</f>
        <v/>
      </c>
    </row>
    <row r="245">
      <c r="C245" s="6" t="n"/>
      <c r="D245" s="12" t="n"/>
      <c r="E245">
        <f>IF(OR(C245="",$B$2=""),"",DATEDIF(C245,EOMONTH($B$2,0),"m")+1)</f>
        <v/>
      </c>
      <c r="F245" s="8">
        <f>IF(B245="","",IF(LEFT(B245,4)="Plan",IF(E245&lt;=12,0.10,0),IF(LEFT(B245,7)="Cartera",IF(E245&lt;=12,0.06,IF(E245&lt;=24,0.03,0)),"tarifa asesora")))</f>
        <v/>
      </c>
      <c r="G245" s="12">
        <f>IF(OR(D245="",F245=""),"",IF(ISNUMBER(F245),D245*F245,""))</f>
        <v/>
      </c>
    </row>
    <row r="246">
      <c r="C246" s="6" t="n"/>
      <c r="D246" s="12" t="n"/>
      <c r="E246">
        <f>IF(OR(C246="",$B$2=""),"",DATEDIF(C246,EOMONTH($B$2,0),"m")+1)</f>
        <v/>
      </c>
      <c r="F246" s="8">
        <f>IF(B246="","",IF(LEFT(B246,4)="Plan",IF(E246&lt;=12,0.10,0),IF(LEFT(B246,7)="Cartera",IF(E246&lt;=12,0.06,IF(E246&lt;=24,0.03,0)),"tarifa asesora")))</f>
        <v/>
      </c>
      <c r="G246" s="12">
        <f>IF(OR(D246="",F246=""),"",IF(ISNUMBER(F246),D246*F246,""))</f>
        <v/>
      </c>
    </row>
    <row r="247">
      <c r="C247" s="6" t="n"/>
      <c r="D247" s="12" t="n"/>
      <c r="E247">
        <f>IF(OR(C247="",$B$2=""),"",DATEDIF(C247,EOMONTH($B$2,0),"m")+1)</f>
        <v/>
      </c>
      <c r="F247" s="8">
        <f>IF(B247="","",IF(LEFT(B247,4)="Plan",IF(E247&lt;=12,0.10,0),IF(LEFT(B247,7)="Cartera",IF(E247&lt;=12,0.06,IF(E247&lt;=24,0.03,0)),"tarifa asesora")))</f>
        <v/>
      </c>
      <c r="G247" s="12">
        <f>IF(OR(D247="",F247=""),"",IF(ISNUMBER(F247),D247*F247,""))</f>
        <v/>
      </c>
    </row>
    <row r="248">
      <c r="C248" s="6" t="n"/>
      <c r="D248" s="12" t="n"/>
      <c r="E248">
        <f>IF(OR(C248="",$B$2=""),"",DATEDIF(C248,EOMONTH($B$2,0),"m")+1)</f>
        <v/>
      </c>
      <c r="F248" s="8">
        <f>IF(B248="","",IF(LEFT(B248,4)="Plan",IF(E248&lt;=12,0.10,0),IF(LEFT(B248,7)="Cartera",IF(E248&lt;=12,0.06,IF(E248&lt;=24,0.03,0)),"tarifa asesora")))</f>
        <v/>
      </c>
      <c r="G248" s="12">
        <f>IF(OR(D248="",F248=""),"",IF(ISNUMBER(F248),D248*F248,""))</f>
        <v/>
      </c>
    </row>
    <row r="249">
      <c r="C249" s="6" t="n"/>
      <c r="D249" s="12" t="n"/>
      <c r="E249">
        <f>IF(OR(C249="",$B$2=""),"",DATEDIF(C249,EOMONTH($B$2,0),"m")+1)</f>
        <v/>
      </c>
      <c r="F249" s="8">
        <f>IF(B249="","",IF(LEFT(B249,4)="Plan",IF(E249&lt;=12,0.10,0),IF(LEFT(B249,7)="Cartera",IF(E249&lt;=12,0.06,IF(E249&lt;=24,0.03,0)),"tarifa asesora")))</f>
        <v/>
      </c>
      <c r="G249" s="12">
        <f>IF(OR(D249="",F249=""),"",IF(ISNUMBER(F249),D249*F249,""))</f>
        <v/>
      </c>
    </row>
    <row r="250">
      <c r="C250" s="6" t="n"/>
      <c r="D250" s="12" t="n"/>
      <c r="E250">
        <f>IF(OR(C250="",$B$2=""),"",DATEDIF(C250,EOMONTH($B$2,0),"m")+1)</f>
        <v/>
      </c>
      <c r="F250" s="8">
        <f>IF(B250="","",IF(LEFT(B250,4)="Plan",IF(E250&lt;=12,0.10,0),IF(LEFT(B250,7)="Cartera",IF(E250&lt;=12,0.06,IF(E250&lt;=24,0.03,0)),"tarifa asesora")))</f>
        <v/>
      </c>
      <c r="G250" s="12">
        <f>IF(OR(D250="",F250=""),"",IF(ISNUMBER(F250),D250*F250,""))</f>
        <v/>
      </c>
    </row>
    <row r="251">
      <c r="C251" s="6" t="n"/>
      <c r="D251" s="12" t="n"/>
      <c r="E251">
        <f>IF(OR(C251="",$B$2=""),"",DATEDIF(C251,EOMONTH($B$2,0),"m")+1)</f>
        <v/>
      </c>
      <c r="F251" s="8">
        <f>IF(B251="","",IF(LEFT(B251,4)="Plan",IF(E251&lt;=12,0.10,0),IF(LEFT(B251,7)="Cartera",IF(E251&lt;=12,0.06,IF(E251&lt;=24,0.03,0)),"tarifa asesora")))</f>
        <v/>
      </c>
      <c r="G251" s="12">
        <f>IF(OR(D251="",F251=""),"",IF(ISNUMBER(F251),D251*F251,""))</f>
        <v/>
      </c>
    </row>
    <row r="252">
      <c r="C252" s="6" t="n"/>
      <c r="D252" s="12" t="n"/>
      <c r="E252">
        <f>IF(OR(C252="",$B$2=""),"",DATEDIF(C252,EOMONTH($B$2,0),"m")+1)</f>
        <v/>
      </c>
      <c r="F252" s="8">
        <f>IF(B252="","",IF(LEFT(B252,4)="Plan",IF(E252&lt;=12,0.10,0),IF(LEFT(B252,7)="Cartera",IF(E252&lt;=12,0.06,IF(E252&lt;=24,0.03,0)),"tarifa asesora")))</f>
        <v/>
      </c>
      <c r="G252" s="12">
        <f>IF(OR(D252="",F252=""),"",IF(ISNUMBER(F252),D252*F252,""))</f>
        <v/>
      </c>
    </row>
    <row r="253">
      <c r="C253" s="6" t="n"/>
      <c r="D253" s="12" t="n"/>
      <c r="E253">
        <f>IF(OR(C253="",$B$2=""),"",DATEDIF(C253,EOMONTH($B$2,0),"m")+1)</f>
        <v/>
      </c>
      <c r="F253" s="8">
        <f>IF(B253="","",IF(LEFT(B253,4)="Plan",IF(E253&lt;=12,0.10,0),IF(LEFT(B253,7)="Cartera",IF(E253&lt;=12,0.06,IF(E253&lt;=24,0.03,0)),"tarifa asesora")))</f>
        <v/>
      </c>
      <c r="G253" s="12">
        <f>IF(OR(D253="",F253=""),"",IF(ISNUMBER(F253),D253*F253,""))</f>
        <v/>
      </c>
    </row>
    <row r="254">
      <c r="C254" s="6" t="n"/>
      <c r="D254" s="12" t="n"/>
      <c r="E254">
        <f>IF(OR(C254="",$B$2=""),"",DATEDIF(C254,EOMONTH($B$2,0),"m")+1)</f>
        <v/>
      </c>
      <c r="F254" s="8">
        <f>IF(B254="","",IF(LEFT(B254,4)="Plan",IF(E254&lt;=12,0.10,0),IF(LEFT(B254,7)="Cartera",IF(E254&lt;=12,0.06,IF(E254&lt;=24,0.03,0)),"tarifa asesora")))</f>
        <v/>
      </c>
      <c r="G254" s="12">
        <f>IF(OR(D254="",F254=""),"",IF(ISNUMBER(F254),D254*F254,""))</f>
        <v/>
      </c>
    </row>
    <row r="255">
      <c r="C255" s="6" t="n"/>
      <c r="D255" s="12" t="n"/>
      <c r="E255">
        <f>IF(OR(C255="",$B$2=""),"",DATEDIF(C255,EOMONTH($B$2,0),"m")+1)</f>
        <v/>
      </c>
      <c r="F255" s="8">
        <f>IF(B255="","",IF(LEFT(B255,4)="Plan",IF(E255&lt;=12,0.10,0),IF(LEFT(B255,7)="Cartera",IF(E255&lt;=12,0.06,IF(E255&lt;=24,0.03,0)),"tarifa asesora")))</f>
        <v/>
      </c>
      <c r="G255" s="12">
        <f>IF(OR(D255="",F255=""),"",IF(ISNUMBER(F255),D255*F255,""))</f>
        <v/>
      </c>
    </row>
    <row r="256">
      <c r="C256" s="6" t="n"/>
      <c r="D256" s="12" t="n"/>
      <c r="E256">
        <f>IF(OR(C256="",$B$2=""),"",DATEDIF(C256,EOMONTH($B$2,0),"m")+1)</f>
        <v/>
      </c>
      <c r="F256" s="8">
        <f>IF(B256="","",IF(LEFT(B256,4)="Plan",IF(E256&lt;=12,0.10,0),IF(LEFT(B256,7)="Cartera",IF(E256&lt;=12,0.06,IF(E256&lt;=24,0.03,0)),"tarifa asesora")))</f>
        <v/>
      </c>
      <c r="G256" s="12">
        <f>IF(OR(D256="",F256=""),"",IF(ISNUMBER(F256),D256*F256,""))</f>
        <v/>
      </c>
    </row>
    <row r="257">
      <c r="C257" s="6" t="n"/>
      <c r="D257" s="12" t="n"/>
      <c r="E257">
        <f>IF(OR(C257="",$B$2=""),"",DATEDIF(C257,EOMONTH($B$2,0),"m")+1)</f>
        <v/>
      </c>
      <c r="F257" s="8">
        <f>IF(B257="","",IF(LEFT(B257,4)="Plan",IF(E257&lt;=12,0.10,0),IF(LEFT(B257,7)="Cartera",IF(E257&lt;=12,0.06,IF(E257&lt;=24,0.03,0)),"tarifa asesora")))</f>
        <v/>
      </c>
      <c r="G257" s="12">
        <f>IF(OR(D257="",F257=""),"",IF(ISNUMBER(F257),D257*F257,""))</f>
        <v/>
      </c>
    </row>
    <row r="258">
      <c r="C258" s="6" t="n"/>
      <c r="D258" s="12" t="n"/>
      <c r="E258">
        <f>IF(OR(C258="",$B$2=""),"",DATEDIF(C258,EOMONTH($B$2,0),"m")+1)</f>
        <v/>
      </c>
      <c r="F258" s="8">
        <f>IF(B258="","",IF(LEFT(B258,4)="Plan",IF(E258&lt;=12,0.10,0),IF(LEFT(B258,7)="Cartera",IF(E258&lt;=12,0.06,IF(E258&lt;=24,0.03,0)),"tarifa asesora")))</f>
        <v/>
      </c>
      <c r="G258" s="12">
        <f>IF(OR(D258="",F258=""),"",IF(ISNUMBER(F258),D258*F258,""))</f>
        <v/>
      </c>
    </row>
    <row r="259">
      <c r="C259" s="6" t="n"/>
      <c r="D259" s="12" t="n"/>
      <c r="E259">
        <f>IF(OR(C259="",$B$2=""),"",DATEDIF(C259,EOMONTH($B$2,0),"m")+1)</f>
        <v/>
      </c>
      <c r="F259" s="8">
        <f>IF(B259="","",IF(LEFT(B259,4)="Plan",IF(E259&lt;=12,0.10,0),IF(LEFT(B259,7)="Cartera",IF(E259&lt;=12,0.06,IF(E259&lt;=24,0.03,0)),"tarifa asesora")))</f>
        <v/>
      </c>
      <c r="G259" s="12">
        <f>IF(OR(D259="",F259=""),"",IF(ISNUMBER(F259),D259*F259,""))</f>
        <v/>
      </c>
    </row>
    <row r="260">
      <c r="C260" s="6" t="n"/>
      <c r="D260" s="12" t="n"/>
      <c r="E260">
        <f>IF(OR(C260="",$B$2=""),"",DATEDIF(C260,EOMONTH($B$2,0),"m")+1)</f>
        <v/>
      </c>
      <c r="F260" s="8">
        <f>IF(B260="","",IF(LEFT(B260,4)="Plan",IF(E260&lt;=12,0.10,0),IF(LEFT(B260,7)="Cartera",IF(E260&lt;=12,0.06,IF(E260&lt;=24,0.03,0)),"tarifa asesora")))</f>
        <v/>
      </c>
      <c r="G260" s="12">
        <f>IF(OR(D260="",F260=""),"",IF(ISNUMBER(F260),D260*F260,""))</f>
        <v/>
      </c>
    </row>
    <row r="261">
      <c r="C261" s="6" t="n"/>
      <c r="D261" s="12" t="n"/>
      <c r="E261">
        <f>IF(OR(C261="",$B$2=""),"",DATEDIF(C261,EOMONTH($B$2,0),"m")+1)</f>
        <v/>
      </c>
      <c r="F261" s="8">
        <f>IF(B261="","",IF(LEFT(B261,4)="Plan",IF(E261&lt;=12,0.10,0),IF(LEFT(B261,7)="Cartera",IF(E261&lt;=12,0.06,IF(E261&lt;=24,0.03,0)),"tarifa asesora")))</f>
        <v/>
      </c>
      <c r="G261" s="12">
        <f>IF(OR(D261="",F261=""),"",IF(ISNUMBER(F261),D261*F261,""))</f>
        <v/>
      </c>
    </row>
    <row r="262">
      <c r="C262" s="6" t="n"/>
      <c r="D262" s="12" t="n"/>
      <c r="E262">
        <f>IF(OR(C262="",$B$2=""),"",DATEDIF(C262,EOMONTH($B$2,0),"m")+1)</f>
        <v/>
      </c>
      <c r="F262" s="8">
        <f>IF(B262="","",IF(LEFT(B262,4)="Plan",IF(E262&lt;=12,0.10,0),IF(LEFT(B262,7)="Cartera",IF(E262&lt;=12,0.06,IF(E262&lt;=24,0.03,0)),"tarifa asesora")))</f>
        <v/>
      </c>
      <c r="G262" s="12">
        <f>IF(OR(D262="",F262=""),"",IF(ISNUMBER(F262),D262*F262,""))</f>
        <v/>
      </c>
    </row>
    <row r="263">
      <c r="C263" s="6" t="n"/>
      <c r="D263" s="12" t="n"/>
      <c r="E263">
        <f>IF(OR(C263="",$B$2=""),"",DATEDIF(C263,EOMONTH($B$2,0),"m")+1)</f>
        <v/>
      </c>
      <c r="F263" s="8">
        <f>IF(B263="","",IF(LEFT(B263,4)="Plan",IF(E263&lt;=12,0.10,0),IF(LEFT(B263,7)="Cartera",IF(E263&lt;=12,0.06,IF(E263&lt;=24,0.03,0)),"tarifa asesora")))</f>
        <v/>
      </c>
      <c r="G263" s="12">
        <f>IF(OR(D263="",F263=""),"",IF(ISNUMBER(F263),D263*F263,""))</f>
        <v/>
      </c>
    </row>
    <row r="264">
      <c r="C264" s="6" t="n"/>
      <c r="D264" s="12" t="n"/>
      <c r="E264">
        <f>IF(OR(C264="",$B$2=""),"",DATEDIF(C264,EOMONTH($B$2,0),"m")+1)</f>
        <v/>
      </c>
      <c r="F264" s="8">
        <f>IF(B264="","",IF(LEFT(B264,4)="Plan",IF(E264&lt;=12,0.10,0),IF(LEFT(B264,7)="Cartera",IF(E264&lt;=12,0.06,IF(E264&lt;=24,0.03,0)),"tarifa asesora")))</f>
        <v/>
      </c>
      <c r="G264" s="12">
        <f>IF(OR(D264="",F264=""),"",IF(ISNUMBER(F264),D264*F264,""))</f>
        <v/>
      </c>
    </row>
    <row r="265">
      <c r="C265" s="6" t="n"/>
      <c r="D265" s="12" t="n"/>
      <c r="E265">
        <f>IF(OR(C265="",$B$2=""),"",DATEDIF(C265,EOMONTH($B$2,0),"m")+1)</f>
        <v/>
      </c>
      <c r="F265" s="8">
        <f>IF(B265="","",IF(LEFT(B265,4)="Plan",IF(E265&lt;=12,0.10,0),IF(LEFT(B265,7)="Cartera",IF(E265&lt;=12,0.06,IF(E265&lt;=24,0.03,0)),"tarifa asesora")))</f>
        <v/>
      </c>
      <c r="G265" s="12">
        <f>IF(OR(D265="",F265=""),"",IF(ISNUMBER(F265),D265*F265,""))</f>
        <v/>
      </c>
    </row>
    <row r="266">
      <c r="C266" s="6" t="n"/>
      <c r="D266" s="12" t="n"/>
      <c r="E266">
        <f>IF(OR(C266="",$B$2=""),"",DATEDIF(C266,EOMONTH($B$2,0),"m")+1)</f>
        <v/>
      </c>
      <c r="F266" s="8">
        <f>IF(B266="","",IF(LEFT(B266,4)="Plan",IF(E266&lt;=12,0.10,0),IF(LEFT(B266,7)="Cartera",IF(E266&lt;=12,0.06,IF(E266&lt;=24,0.03,0)),"tarifa asesora")))</f>
        <v/>
      </c>
      <c r="G266" s="12">
        <f>IF(OR(D266="",F266=""),"",IF(ISNUMBER(F266),D266*F266,""))</f>
        <v/>
      </c>
    </row>
    <row r="267">
      <c r="C267" s="6" t="n"/>
      <c r="D267" s="12" t="n"/>
      <c r="E267">
        <f>IF(OR(C267="",$B$2=""),"",DATEDIF(C267,EOMONTH($B$2,0),"m")+1)</f>
        <v/>
      </c>
      <c r="F267" s="8">
        <f>IF(B267="","",IF(LEFT(B267,4)="Plan",IF(E267&lt;=12,0.10,0),IF(LEFT(B267,7)="Cartera",IF(E267&lt;=12,0.06,IF(E267&lt;=24,0.03,0)),"tarifa asesora")))</f>
        <v/>
      </c>
      <c r="G267" s="12">
        <f>IF(OR(D267="",F267=""),"",IF(ISNUMBER(F267),D267*F267,""))</f>
        <v/>
      </c>
    </row>
    <row r="268">
      <c r="C268" s="6" t="n"/>
      <c r="D268" s="12" t="n"/>
      <c r="E268">
        <f>IF(OR(C268="",$B$2=""),"",DATEDIF(C268,EOMONTH($B$2,0),"m")+1)</f>
        <v/>
      </c>
      <c r="F268" s="8">
        <f>IF(B268="","",IF(LEFT(B268,4)="Plan",IF(E268&lt;=12,0.10,0),IF(LEFT(B268,7)="Cartera",IF(E268&lt;=12,0.06,IF(E268&lt;=24,0.03,0)),"tarifa asesora")))</f>
        <v/>
      </c>
      <c r="G268" s="12">
        <f>IF(OR(D268="",F268=""),"",IF(ISNUMBER(F268),D268*F268,""))</f>
        <v/>
      </c>
    </row>
    <row r="269">
      <c r="C269" s="6" t="n"/>
      <c r="D269" s="12" t="n"/>
      <c r="E269">
        <f>IF(OR(C269="",$B$2=""),"",DATEDIF(C269,EOMONTH($B$2,0),"m")+1)</f>
        <v/>
      </c>
      <c r="F269" s="8">
        <f>IF(B269="","",IF(LEFT(B269,4)="Plan",IF(E269&lt;=12,0.10,0),IF(LEFT(B269,7)="Cartera",IF(E269&lt;=12,0.06,IF(E269&lt;=24,0.03,0)),"tarifa asesora")))</f>
        <v/>
      </c>
      <c r="G269" s="12">
        <f>IF(OR(D269="",F269=""),"",IF(ISNUMBER(F269),D269*F269,""))</f>
        <v/>
      </c>
    </row>
    <row r="270">
      <c r="C270" s="6" t="n"/>
      <c r="D270" s="12" t="n"/>
      <c r="E270">
        <f>IF(OR(C270="",$B$2=""),"",DATEDIF(C270,EOMONTH($B$2,0),"m")+1)</f>
        <v/>
      </c>
      <c r="F270" s="8">
        <f>IF(B270="","",IF(LEFT(B270,4)="Plan",IF(E270&lt;=12,0.10,0),IF(LEFT(B270,7)="Cartera",IF(E270&lt;=12,0.06,IF(E270&lt;=24,0.03,0)),"tarifa asesora")))</f>
        <v/>
      </c>
      <c r="G270" s="12">
        <f>IF(OR(D270="",F270=""),"",IF(ISNUMBER(F270),D270*F270,""))</f>
        <v/>
      </c>
    </row>
    <row r="271">
      <c r="C271" s="6" t="n"/>
      <c r="D271" s="12" t="n"/>
      <c r="E271">
        <f>IF(OR(C271="",$B$2=""),"",DATEDIF(C271,EOMONTH($B$2,0),"m")+1)</f>
        <v/>
      </c>
      <c r="F271" s="8">
        <f>IF(B271="","",IF(LEFT(B271,4)="Plan",IF(E271&lt;=12,0.10,0),IF(LEFT(B271,7)="Cartera",IF(E271&lt;=12,0.06,IF(E271&lt;=24,0.03,0)),"tarifa asesora")))</f>
        <v/>
      </c>
      <c r="G271" s="12">
        <f>IF(OR(D271="",F271=""),"",IF(ISNUMBER(F271),D271*F271,""))</f>
        <v/>
      </c>
    </row>
    <row r="272">
      <c r="C272" s="6" t="n"/>
      <c r="D272" s="12" t="n"/>
      <c r="E272">
        <f>IF(OR(C272="",$B$2=""),"",DATEDIF(C272,EOMONTH($B$2,0),"m")+1)</f>
        <v/>
      </c>
      <c r="F272" s="8">
        <f>IF(B272="","",IF(LEFT(B272,4)="Plan",IF(E272&lt;=12,0.10,0),IF(LEFT(B272,7)="Cartera",IF(E272&lt;=12,0.06,IF(E272&lt;=24,0.03,0)),"tarifa asesora")))</f>
        <v/>
      </c>
      <c r="G272" s="12">
        <f>IF(OR(D272="",F272=""),"",IF(ISNUMBER(F272),D272*F272,""))</f>
        <v/>
      </c>
    </row>
    <row r="273">
      <c r="C273" s="6" t="n"/>
      <c r="D273" s="12" t="n"/>
      <c r="E273">
        <f>IF(OR(C273="",$B$2=""),"",DATEDIF(C273,EOMONTH($B$2,0),"m")+1)</f>
        <v/>
      </c>
      <c r="F273" s="8">
        <f>IF(B273="","",IF(LEFT(B273,4)="Plan",IF(E273&lt;=12,0.10,0),IF(LEFT(B273,7)="Cartera",IF(E273&lt;=12,0.06,IF(E273&lt;=24,0.03,0)),"tarifa asesora")))</f>
        <v/>
      </c>
      <c r="G273" s="12">
        <f>IF(OR(D273="",F273=""),"",IF(ISNUMBER(F273),D273*F273,""))</f>
        <v/>
      </c>
    </row>
    <row r="274">
      <c r="C274" s="6" t="n"/>
      <c r="D274" s="12" t="n"/>
      <c r="E274">
        <f>IF(OR(C274="",$B$2=""),"",DATEDIF(C274,EOMONTH($B$2,0),"m")+1)</f>
        <v/>
      </c>
      <c r="F274" s="8">
        <f>IF(B274="","",IF(LEFT(B274,4)="Plan",IF(E274&lt;=12,0.10,0),IF(LEFT(B274,7)="Cartera",IF(E274&lt;=12,0.06,IF(E274&lt;=24,0.03,0)),"tarifa asesora")))</f>
        <v/>
      </c>
      <c r="G274" s="12">
        <f>IF(OR(D274="",F274=""),"",IF(ISNUMBER(F274),D274*F274,""))</f>
        <v/>
      </c>
    </row>
    <row r="275">
      <c r="C275" s="6" t="n"/>
      <c r="D275" s="12" t="n"/>
      <c r="E275">
        <f>IF(OR(C275="",$B$2=""),"",DATEDIF(C275,EOMONTH($B$2,0),"m")+1)</f>
        <v/>
      </c>
      <c r="F275" s="8">
        <f>IF(B275="","",IF(LEFT(B275,4)="Plan",IF(E275&lt;=12,0.10,0),IF(LEFT(B275,7)="Cartera",IF(E275&lt;=12,0.06,IF(E275&lt;=24,0.03,0)),"tarifa asesora")))</f>
        <v/>
      </c>
      <c r="G275" s="12">
        <f>IF(OR(D275="",F275=""),"",IF(ISNUMBER(F275),D275*F275,""))</f>
        <v/>
      </c>
    </row>
    <row r="276">
      <c r="C276" s="6" t="n"/>
      <c r="D276" s="12" t="n"/>
      <c r="E276">
        <f>IF(OR(C276="",$B$2=""),"",DATEDIF(C276,EOMONTH($B$2,0),"m")+1)</f>
        <v/>
      </c>
      <c r="F276" s="8">
        <f>IF(B276="","",IF(LEFT(B276,4)="Plan",IF(E276&lt;=12,0.10,0),IF(LEFT(B276,7)="Cartera",IF(E276&lt;=12,0.06,IF(E276&lt;=24,0.03,0)),"tarifa asesora")))</f>
        <v/>
      </c>
      <c r="G276" s="12">
        <f>IF(OR(D276="",F276=""),"",IF(ISNUMBER(F276),D276*F276,""))</f>
        <v/>
      </c>
    </row>
    <row r="277">
      <c r="C277" s="6" t="n"/>
      <c r="D277" s="12" t="n"/>
      <c r="E277">
        <f>IF(OR(C277="",$B$2=""),"",DATEDIF(C277,EOMONTH($B$2,0),"m")+1)</f>
        <v/>
      </c>
      <c r="F277" s="8">
        <f>IF(B277="","",IF(LEFT(B277,4)="Plan",IF(E277&lt;=12,0.10,0),IF(LEFT(B277,7)="Cartera",IF(E277&lt;=12,0.06,IF(E277&lt;=24,0.03,0)),"tarifa asesora")))</f>
        <v/>
      </c>
      <c r="G277" s="12">
        <f>IF(OR(D277="",F277=""),"",IF(ISNUMBER(F277),D277*F277,""))</f>
        <v/>
      </c>
    </row>
    <row r="278">
      <c r="C278" s="6" t="n"/>
      <c r="D278" s="12" t="n"/>
      <c r="E278">
        <f>IF(OR(C278="",$B$2=""),"",DATEDIF(C278,EOMONTH($B$2,0),"m")+1)</f>
        <v/>
      </c>
      <c r="F278" s="8">
        <f>IF(B278="","",IF(LEFT(B278,4)="Plan",IF(E278&lt;=12,0.10,0),IF(LEFT(B278,7)="Cartera",IF(E278&lt;=12,0.06,IF(E278&lt;=24,0.03,0)),"tarifa asesora")))</f>
        <v/>
      </c>
      <c r="G278" s="12">
        <f>IF(OR(D278="",F278=""),"",IF(ISNUMBER(F278),D278*F278,""))</f>
        <v/>
      </c>
    </row>
    <row r="279">
      <c r="C279" s="6" t="n"/>
      <c r="D279" s="12" t="n"/>
      <c r="E279">
        <f>IF(OR(C279="",$B$2=""),"",DATEDIF(C279,EOMONTH($B$2,0),"m")+1)</f>
        <v/>
      </c>
      <c r="F279" s="8">
        <f>IF(B279="","",IF(LEFT(B279,4)="Plan",IF(E279&lt;=12,0.10,0),IF(LEFT(B279,7)="Cartera",IF(E279&lt;=12,0.06,IF(E279&lt;=24,0.03,0)),"tarifa asesora")))</f>
        <v/>
      </c>
      <c r="G279" s="12">
        <f>IF(OR(D279="",F279=""),"",IF(ISNUMBER(F279),D279*F279,""))</f>
        <v/>
      </c>
    </row>
    <row r="280">
      <c r="C280" s="6" t="n"/>
      <c r="D280" s="12" t="n"/>
      <c r="E280">
        <f>IF(OR(C280="",$B$2=""),"",DATEDIF(C280,EOMONTH($B$2,0),"m")+1)</f>
        <v/>
      </c>
      <c r="F280" s="8">
        <f>IF(B280="","",IF(LEFT(B280,4)="Plan",IF(E280&lt;=12,0.10,0),IF(LEFT(B280,7)="Cartera",IF(E280&lt;=12,0.06,IF(E280&lt;=24,0.03,0)),"tarifa asesora")))</f>
        <v/>
      </c>
      <c r="G280" s="12">
        <f>IF(OR(D280="",F280=""),"",IF(ISNUMBER(F280),D280*F280,""))</f>
        <v/>
      </c>
    </row>
    <row r="281">
      <c r="C281" s="6" t="n"/>
      <c r="D281" s="12" t="n"/>
      <c r="E281">
        <f>IF(OR(C281="",$B$2=""),"",DATEDIF(C281,EOMONTH($B$2,0),"m")+1)</f>
        <v/>
      </c>
      <c r="F281" s="8">
        <f>IF(B281="","",IF(LEFT(B281,4)="Plan",IF(E281&lt;=12,0.10,0),IF(LEFT(B281,7)="Cartera",IF(E281&lt;=12,0.06,IF(E281&lt;=24,0.03,0)),"tarifa asesora")))</f>
        <v/>
      </c>
      <c r="G281" s="12">
        <f>IF(OR(D281="",F281=""),"",IF(ISNUMBER(F281),D281*F281,""))</f>
        <v/>
      </c>
    </row>
    <row r="282">
      <c r="C282" s="6" t="n"/>
      <c r="D282" s="12" t="n"/>
      <c r="E282">
        <f>IF(OR(C282="",$B$2=""),"",DATEDIF(C282,EOMONTH($B$2,0),"m")+1)</f>
        <v/>
      </c>
      <c r="F282" s="8">
        <f>IF(B282="","",IF(LEFT(B282,4)="Plan",IF(E282&lt;=12,0.10,0),IF(LEFT(B282,7)="Cartera",IF(E282&lt;=12,0.06,IF(E282&lt;=24,0.03,0)),"tarifa asesora")))</f>
        <v/>
      </c>
      <c r="G282" s="12">
        <f>IF(OR(D282="",F282=""),"",IF(ISNUMBER(F282),D282*F282,""))</f>
        <v/>
      </c>
    </row>
    <row r="283">
      <c r="C283" s="6" t="n"/>
      <c r="D283" s="12" t="n"/>
      <c r="E283">
        <f>IF(OR(C283="",$B$2=""),"",DATEDIF(C283,EOMONTH($B$2,0),"m")+1)</f>
        <v/>
      </c>
      <c r="F283" s="8">
        <f>IF(B283="","",IF(LEFT(B283,4)="Plan",IF(E283&lt;=12,0.10,0),IF(LEFT(B283,7)="Cartera",IF(E283&lt;=12,0.06,IF(E283&lt;=24,0.03,0)),"tarifa asesora")))</f>
        <v/>
      </c>
      <c r="G283" s="12">
        <f>IF(OR(D283="",F283=""),"",IF(ISNUMBER(F283),D283*F283,""))</f>
        <v/>
      </c>
    </row>
    <row r="284">
      <c r="C284" s="6" t="n"/>
      <c r="D284" s="12" t="n"/>
      <c r="E284">
        <f>IF(OR(C284="",$B$2=""),"",DATEDIF(C284,EOMONTH($B$2,0),"m")+1)</f>
        <v/>
      </c>
      <c r="F284" s="8">
        <f>IF(B284="","",IF(LEFT(B284,4)="Plan",IF(E284&lt;=12,0.10,0),IF(LEFT(B284,7)="Cartera",IF(E284&lt;=12,0.06,IF(E284&lt;=24,0.03,0)),"tarifa asesora")))</f>
        <v/>
      </c>
      <c r="G284" s="12">
        <f>IF(OR(D284="",F284=""),"",IF(ISNUMBER(F284),D284*F284,""))</f>
        <v/>
      </c>
    </row>
    <row r="285">
      <c r="C285" s="6" t="n"/>
      <c r="D285" s="12" t="n"/>
      <c r="E285">
        <f>IF(OR(C285="",$B$2=""),"",DATEDIF(C285,EOMONTH($B$2,0),"m")+1)</f>
        <v/>
      </c>
      <c r="F285" s="8">
        <f>IF(B285="","",IF(LEFT(B285,4)="Plan",IF(E285&lt;=12,0.10,0),IF(LEFT(B285,7)="Cartera",IF(E285&lt;=12,0.06,IF(E285&lt;=24,0.03,0)),"tarifa asesora")))</f>
        <v/>
      </c>
      <c r="G285" s="12">
        <f>IF(OR(D285="",F285=""),"",IF(ISNUMBER(F285),D285*F285,""))</f>
        <v/>
      </c>
    </row>
    <row r="286">
      <c r="C286" s="6" t="n"/>
      <c r="D286" s="12" t="n"/>
      <c r="E286">
        <f>IF(OR(C286="",$B$2=""),"",DATEDIF(C286,EOMONTH($B$2,0),"m")+1)</f>
        <v/>
      </c>
      <c r="F286" s="8">
        <f>IF(B286="","",IF(LEFT(B286,4)="Plan",IF(E286&lt;=12,0.10,0),IF(LEFT(B286,7)="Cartera",IF(E286&lt;=12,0.06,IF(E286&lt;=24,0.03,0)),"tarifa asesora")))</f>
        <v/>
      </c>
      <c r="G286" s="12">
        <f>IF(OR(D286="",F286=""),"",IF(ISNUMBER(F286),D286*F286,""))</f>
        <v/>
      </c>
    </row>
    <row r="287">
      <c r="C287" s="6" t="n"/>
      <c r="D287" s="12" t="n"/>
      <c r="E287">
        <f>IF(OR(C287="",$B$2=""),"",DATEDIF(C287,EOMONTH($B$2,0),"m")+1)</f>
        <v/>
      </c>
      <c r="F287" s="8">
        <f>IF(B287="","",IF(LEFT(B287,4)="Plan",IF(E287&lt;=12,0.10,0),IF(LEFT(B287,7)="Cartera",IF(E287&lt;=12,0.06,IF(E287&lt;=24,0.03,0)),"tarifa asesora")))</f>
        <v/>
      </c>
      <c r="G287" s="12">
        <f>IF(OR(D287="",F287=""),"",IF(ISNUMBER(F287),D287*F287,""))</f>
        <v/>
      </c>
    </row>
    <row r="288">
      <c r="C288" s="6" t="n"/>
      <c r="D288" s="12" t="n"/>
      <c r="E288">
        <f>IF(OR(C288="",$B$2=""),"",DATEDIF(C288,EOMONTH($B$2,0),"m")+1)</f>
        <v/>
      </c>
      <c r="F288" s="8">
        <f>IF(B288="","",IF(LEFT(B288,4)="Plan",IF(E288&lt;=12,0.10,0),IF(LEFT(B288,7)="Cartera",IF(E288&lt;=12,0.06,IF(E288&lt;=24,0.03,0)),"tarifa asesora")))</f>
        <v/>
      </c>
      <c r="G288" s="12">
        <f>IF(OR(D288="",F288=""),"",IF(ISNUMBER(F288),D288*F288,""))</f>
        <v/>
      </c>
    </row>
    <row r="289">
      <c r="C289" s="6" t="n"/>
      <c r="D289" s="12" t="n"/>
      <c r="E289">
        <f>IF(OR(C289="",$B$2=""),"",DATEDIF(C289,EOMONTH($B$2,0),"m")+1)</f>
        <v/>
      </c>
      <c r="F289" s="8">
        <f>IF(B289="","",IF(LEFT(B289,4)="Plan",IF(E289&lt;=12,0.10,0),IF(LEFT(B289,7)="Cartera",IF(E289&lt;=12,0.06,IF(E289&lt;=24,0.03,0)),"tarifa asesora")))</f>
        <v/>
      </c>
      <c r="G289" s="12">
        <f>IF(OR(D289="",F289=""),"",IF(ISNUMBER(F289),D289*F289,""))</f>
        <v/>
      </c>
    </row>
    <row r="290">
      <c r="C290" s="6" t="n"/>
      <c r="D290" s="12" t="n"/>
      <c r="E290">
        <f>IF(OR(C290="",$B$2=""),"",DATEDIF(C290,EOMONTH($B$2,0),"m")+1)</f>
        <v/>
      </c>
      <c r="F290" s="8">
        <f>IF(B290="","",IF(LEFT(B290,4)="Plan",IF(E290&lt;=12,0.10,0),IF(LEFT(B290,7)="Cartera",IF(E290&lt;=12,0.06,IF(E290&lt;=24,0.03,0)),"tarifa asesora")))</f>
        <v/>
      </c>
      <c r="G290" s="12">
        <f>IF(OR(D290="",F290=""),"",IF(ISNUMBER(F290),D290*F290,""))</f>
        <v/>
      </c>
    </row>
    <row r="291">
      <c r="C291" s="6" t="n"/>
      <c r="D291" s="12" t="n"/>
      <c r="E291">
        <f>IF(OR(C291="",$B$2=""),"",DATEDIF(C291,EOMONTH($B$2,0),"m")+1)</f>
        <v/>
      </c>
      <c r="F291" s="8">
        <f>IF(B291="","",IF(LEFT(B291,4)="Plan",IF(E291&lt;=12,0.10,0),IF(LEFT(B291,7)="Cartera",IF(E291&lt;=12,0.06,IF(E291&lt;=24,0.03,0)),"tarifa asesora")))</f>
        <v/>
      </c>
      <c r="G291" s="12">
        <f>IF(OR(D291="",F291=""),"",IF(ISNUMBER(F291),D291*F291,""))</f>
        <v/>
      </c>
    </row>
    <row r="292">
      <c r="C292" s="6" t="n"/>
      <c r="D292" s="12" t="n"/>
      <c r="E292">
        <f>IF(OR(C292="",$B$2=""),"",DATEDIF(C292,EOMONTH($B$2,0),"m")+1)</f>
        <v/>
      </c>
      <c r="F292" s="8">
        <f>IF(B292="","",IF(LEFT(B292,4)="Plan",IF(E292&lt;=12,0.10,0),IF(LEFT(B292,7)="Cartera",IF(E292&lt;=12,0.06,IF(E292&lt;=24,0.03,0)),"tarifa asesora")))</f>
        <v/>
      </c>
      <c r="G292" s="12">
        <f>IF(OR(D292="",F292=""),"",IF(ISNUMBER(F292),D292*F292,""))</f>
        <v/>
      </c>
    </row>
    <row r="293">
      <c r="C293" s="6" t="n"/>
      <c r="D293" s="12" t="n"/>
      <c r="E293">
        <f>IF(OR(C293="",$B$2=""),"",DATEDIF(C293,EOMONTH($B$2,0),"m")+1)</f>
        <v/>
      </c>
      <c r="F293" s="8">
        <f>IF(B293="","",IF(LEFT(B293,4)="Plan",IF(E293&lt;=12,0.10,0),IF(LEFT(B293,7)="Cartera",IF(E293&lt;=12,0.06,IF(E293&lt;=24,0.03,0)),"tarifa asesora")))</f>
        <v/>
      </c>
      <c r="G293" s="12">
        <f>IF(OR(D293="",F293=""),"",IF(ISNUMBER(F293),D293*F293,""))</f>
        <v/>
      </c>
    </row>
    <row r="294">
      <c r="C294" s="6" t="n"/>
      <c r="D294" s="12" t="n"/>
      <c r="E294">
        <f>IF(OR(C294="",$B$2=""),"",DATEDIF(C294,EOMONTH($B$2,0),"m")+1)</f>
        <v/>
      </c>
      <c r="F294" s="8">
        <f>IF(B294="","",IF(LEFT(B294,4)="Plan",IF(E294&lt;=12,0.10,0),IF(LEFT(B294,7)="Cartera",IF(E294&lt;=12,0.06,IF(E294&lt;=24,0.03,0)),"tarifa asesora")))</f>
        <v/>
      </c>
      <c r="G294" s="12">
        <f>IF(OR(D294="",F294=""),"",IF(ISNUMBER(F294),D294*F294,""))</f>
        <v/>
      </c>
    </row>
    <row r="295">
      <c r="C295" s="6" t="n"/>
      <c r="D295" s="12" t="n"/>
      <c r="E295">
        <f>IF(OR(C295="",$B$2=""),"",DATEDIF(C295,EOMONTH($B$2,0),"m")+1)</f>
        <v/>
      </c>
      <c r="F295" s="8">
        <f>IF(B295="","",IF(LEFT(B295,4)="Plan",IF(E295&lt;=12,0.10,0),IF(LEFT(B295,7)="Cartera",IF(E295&lt;=12,0.06,IF(E295&lt;=24,0.03,0)),"tarifa asesora")))</f>
        <v/>
      </c>
      <c r="G295" s="12">
        <f>IF(OR(D295="",F295=""),"",IF(ISNUMBER(F295),D295*F295,""))</f>
        <v/>
      </c>
    </row>
    <row r="296">
      <c r="C296" s="6" t="n"/>
      <c r="D296" s="12" t="n"/>
      <c r="E296">
        <f>IF(OR(C296="",$B$2=""),"",DATEDIF(C296,EOMONTH($B$2,0),"m")+1)</f>
        <v/>
      </c>
      <c r="F296" s="8">
        <f>IF(B296="","",IF(LEFT(B296,4)="Plan",IF(E296&lt;=12,0.10,0),IF(LEFT(B296,7)="Cartera",IF(E296&lt;=12,0.06,IF(E296&lt;=24,0.03,0)),"tarifa asesora")))</f>
        <v/>
      </c>
      <c r="G296" s="12">
        <f>IF(OR(D296="",F296=""),"",IF(ISNUMBER(F296),D296*F296,""))</f>
        <v/>
      </c>
    </row>
    <row r="297">
      <c r="C297" s="6" t="n"/>
      <c r="D297" s="12" t="n"/>
      <c r="E297">
        <f>IF(OR(C297="",$B$2=""),"",DATEDIF(C297,EOMONTH($B$2,0),"m")+1)</f>
        <v/>
      </c>
      <c r="F297" s="8">
        <f>IF(B297="","",IF(LEFT(B297,4)="Plan",IF(E297&lt;=12,0.10,0),IF(LEFT(B297,7)="Cartera",IF(E297&lt;=12,0.06,IF(E297&lt;=24,0.03,0)),"tarifa asesora")))</f>
        <v/>
      </c>
      <c r="G297" s="12">
        <f>IF(OR(D297="",F297=""),"",IF(ISNUMBER(F297),D297*F297,""))</f>
        <v/>
      </c>
    </row>
    <row r="298">
      <c r="C298" s="6" t="n"/>
      <c r="D298" s="12" t="n"/>
      <c r="E298">
        <f>IF(OR(C298="",$B$2=""),"",DATEDIF(C298,EOMONTH($B$2,0),"m")+1)</f>
        <v/>
      </c>
      <c r="F298" s="8">
        <f>IF(B298="","",IF(LEFT(B298,4)="Plan",IF(E298&lt;=12,0.10,0),IF(LEFT(B298,7)="Cartera",IF(E298&lt;=12,0.06,IF(E298&lt;=24,0.03,0)),"tarifa asesora")))</f>
        <v/>
      </c>
      <c r="G298" s="12">
        <f>IF(OR(D298="",F298=""),"",IF(ISNUMBER(F298),D298*F298,""))</f>
        <v/>
      </c>
    </row>
    <row r="299">
      <c r="C299" s="6" t="n"/>
      <c r="D299" s="12" t="n"/>
      <c r="E299">
        <f>IF(OR(C299="",$B$2=""),"",DATEDIF(C299,EOMONTH($B$2,0),"m")+1)</f>
        <v/>
      </c>
      <c r="F299" s="8">
        <f>IF(B299="","",IF(LEFT(B299,4)="Plan",IF(E299&lt;=12,0.10,0),IF(LEFT(B299,7)="Cartera",IF(E299&lt;=12,0.06,IF(E299&lt;=24,0.03,0)),"tarifa asesora")))</f>
        <v/>
      </c>
      <c r="G299" s="12">
        <f>IF(OR(D299="",F299=""),"",IF(ISNUMBER(F299),D299*F299,""))</f>
        <v/>
      </c>
    </row>
    <row r="300">
      <c r="C300" s="6" t="n"/>
      <c r="D300" s="12" t="n"/>
      <c r="E300">
        <f>IF(OR(C300="",$B$2=""),"",DATEDIF(C300,EOMONTH($B$2,0),"m")+1)</f>
        <v/>
      </c>
      <c r="F300" s="8">
        <f>IF(B300="","",IF(LEFT(B300,4)="Plan",IF(E300&lt;=12,0.10,0),IF(LEFT(B300,7)="Cartera",IF(E300&lt;=12,0.06,IF(E300&lt;=24,0.03,0)),"tarifa asesora")))</f>
        <v/>
      </c>
      <c r="G300" s="12">
        <f>IF(OR(D300="",F300=""),"",IF(ISNUMBER(F300),D300*F300,""))</f>
        <v/>
      </c>
    </row>
    <row r="301">
      <c r="C301" s="6" t="n"/>
      <c r="D301" s="12" t="n"/>
      <c r="E301">
        <f>IF(OR(C301="",$B$2=""),"",DATEDIF(C301,EOMONTH($B$2,0),"m")+1)</f>
        <v/>
      </c>
      <c r="F301" s="8">
        <f>IF(B301="","",IF(LEFT(B301,4)="Plan",IF(E301&lt;=12,0.10,0),IF(LEFT(B301,7)="Cartera",IF(E301&lt;=12,0.06,IF(E301&lt;=24,0.03,0)),"tarifa asesora")))</f>
        <v/>
      </c>
      <c r="G301" s="12">
        <f>IF(OR(D301="",F301=""),"",IF(ISNUMBER(F301),D301*F301,""))</f>
        <v/>
      </c>
    </row>
    <row r="302">
      <c r="C302" s="6" t="n"/>
      <c r="D302" s="12" t="n"/>
      <c r="E302">
        <f>IF(OR(C302="",$B$2=""),"",DATEDIF(C302,EOMONTH($B$2,0),"m")+1)</f>
        <v/>
      </c>
      <c r="F302" s="8">
        <f>IF(B302="","",IF(LEFT(B302,4)="Plan",IF(E302&lt;=12,0.10,0),IF(LEFT(B302,7)="Cartera",IF(E302&lt;=12,0.06,IF(E302&lt;=24,0.03,0)),"tarifa asesora")))</f>
        <v/>
      </c>
      <c r="G302" s="12">
        <f>IF(OR(D302="",F302=""),"",IF(ISNUMBER(F302),D302*F302,""))</f>
        <v/>
      </c>
    </row>
    <row r="303">
      <c r="C303" s="6" t="n"/>
      <c r="D303" s="12" t="n"/>
      <c r="E303">
        <f>IF(OR(C303="",$B$2=""),"",DATEDIF(C303,EOMONTH($B$2,0),"m")+1)</f>
        <v/>
      </c>
      <c r="F303" s="8">
        <f>IF(B303="","",IF(LEFT(B303,4)="Plan",IF(E303&lt;=12,0.10,0),IF(LEFT(B303,7)="Cartera",IF(E303&lt;=12,0.06,IF(E303&lt;=24,0.03,0)),"tarifa asesora")))</f>
        <v/>
      </c>
      <c r="G303" s="12">
        <f>IF(OR(D303="",F303=""),"",IF(ISNUMBER(F303),D303*F303,""))</f>
        <v/>
      </c>
    </row>
    <row r="304">
      <c r="C304" s="6" t="n"/>
      <c r="D304" s="12" t="n"/>
      <c r="E304">
        <f>IF(OR(C304="",$B$2=""),"",DATEDIF(C304,EOMONTH($B$2,0),"m")+1)</f>
        <v/>
      </c>
      <c r="F304" s="8">
        <f>IF(B304="","",IF(LEFT(B304,4)="Plan",IF(E304&lt;=12,0.10,0),IF(LEFT(B304,7)="Cartera",IF(E304&lt;=12,0.06,IF(E304&lt;=24,0.03,0)),"tarifa asesora")))</f>
        <v/>
      </c>
      <c r="G304" s="12">
        <f>IF(OR(D304="",F304=""),"",IF(ISNUMBER(F304),D304*F304,""))</f>
        <v/>
      </c>
    </row>
    <row r="305">
      <c r="C305" s="6" t="n"/>
      <c r="D305" s="12" t="n"/>
      <c r="E305">
        <f>IF(OR(C305="",$B$2=""),"",DATEDIF(C305,EOMONTH($B$2,0),"m")+1)</f>
        <v/>
      </c>
      <c r="F305" s="8">
        <f>IF(B305="","",IF(LEFT(B305,4)="Plan",IF(E305&lt;=12,0.10,0),IF(LEFT(B305,7)="Cartera",IF(E305&lt;=12,0.06,IF(E305&lt;=24,0.03,0)),"tarifa asesora")))</f>
        <v/>
      </c>
      <c r="G305" s="12">
        <f>IF(OR(D305="",F305=""),"",IF(ISNUMBER(F305),D305*F305,""))</f>
        <v/>
      </c>
    </row>
    <row r="306">
      <c r="C306" s="6" t="n"/>
      <c r="D306" s="12" t="n"/>
      <c r="E306">
        <f>IF(OR(C306="",$B$2=""),"",DATEDIF(C306,EOMONTH($B$2,0),"m")+1)</f>
        <v/>
      </c>
      <c r="F306" s="8">
        <f>IF(B306="","",IF(LEFT(B306,4)="Plan",IF(E306&lt;=12,0.10,0),IF(LEFT(B306,7)="Cartera",IF(E306&lt;=12,0.06,IF(E306&lt;=24,0.03,0)),"tarifa asesora")))</f>
        <v/>
      </c>
      <c r="G306" s="12">
        <f>IF(OR(D306="",F306=""),"",IF(ISNUMBER(F306),D306*F306,""))</f>
        <v/>
      </c>
    </row>
    <row r="309">
      <c r="A309" s="2" t="inlineStr">
        <is>
          <t>Total comisiones del mes</t>
        </is>
      </c>
      <c r="G309" s="12">
        <f>SUM(G7:G306)</f>
        <v/>
      </c>
    </row>
    <row r="310">
      <c r="A310" t="inlineStr">
        <is>
          <t>Básico</t>
        </is>
      </c>
      <c r="G310" s="12">
        <f>B3</f>
        <v/>
      </c>
    </row>
    <row r="311">
      <c r="A311" t="inlineStr">
        <is>
          <t>Complemento por ingreso mínimo garantizado ($3.500.000, meses 1-3 si cumplió)</t>
        </is>
      </c>
      <c r="G311" s="12">
        <f>IF(B4="Sí",MAX(0,3500000-(G309+G310)),0)</f>
        <v/>
      </c>
    </row>
    <row r="312">
      <c r="A312" s="2" t="inlineStr">
        <is>
          <t>TOTAL A PAGAR (antes de deducciones de ley)</t>
        </is>
      </c>
      <c r="G312" s="22">
        <f>G309+G310+G311</f>
        <v/>
      </c>
    </row>
  </sheetData>
  <dataValidations count="2">
    <dataValidation sqref="B4" showDropDown="0" showInputMessage="0" showErrorMessage="0" allowBlank="0" type="list">
      <formula1>"Sí,No,No aplica (mes 4+)"</formula1>
    </dataValidation>
    <dataValidation sqref="B7:B306" showDropDown="0" showInputMessage="0" showErrorMessage="0" allowBlank="1" type="list">
      <formula1>"Plan empresa / personalizado (10%),Cartera de alianza o base propia,Cierre de apoyo (comisión de asesora)"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18" customWidth="1" min="1" max="1"/>
    <col width="60" customWidth="1" min="2" max="2"/>
    <col width="40" customWidth="1" min="3" max="3"/>
    <col width="20" customWidth="1" min="4" max="4"/>
    <col width="20" customWidth="1" min="5" max="5"/>
    <col width="30" customWidth="1" min="6" max="6"/>
    <col width="18" customWidth="1" min="7" max="7"/>
  </cols>
  <sheetData>
    <row r="1">
      <c r="A1" s="1" t="inlineStr">
        <is>
          <t>PRIMERA SEMANA — arranque</t>
        </is>
      </c>
    </row>
    <row r="3" ht="32" customHeight="1">
      <c r="A3" s="9" t="inlineStr">
        <is>
          <t>Día</t>
        </is>
      </c>
      <c r="B3" s="9" t="inlineStr">
        <is>
          <t>Qué</t>
        </is>
      </c>
      <c r="C3" s="9" t="inlineStr">
        <is>
          <t>Entregable</t>
        </is>
      </c>
      <c r="D3" s="9" t="inlineStr">
        <is>
          <t>Hecho (Sí/No)</t>
        </is>
      </c>
    </row>
    <row r="4" ht="32" customHeight="1">
      <c r="A4" t="inlineStr">
        <is>
          <t>1</t>
        </is>
      </c>
      <c r="B4" s="7" t="inlineStr">
        <is>
          <t>Inducción: producto, Fondo de Becas, convenio, orden de plan empresa, tarifa por volumen, módulo de graduación, garantía.</t>
        </is>
      </c>
      <c r="C4" s="7" t="inlineStr">
        <is>
          <t>Kit leído y preguntas resueltas</t>
        </is>
      </c>
    </row>
    <row r="5" ht="32" customHeight="1">
      <c r="A5" t="inlineStr">
        <is>
          <t>1-2</t>
        </is>
      </c>
      <c r="B5" s="7" t="inlineStr">
        <is>
          <t>Benchmarking de 7 academias (abajo): llamada o visita como cliente, web y biblioteca de anuncios de Meta.</t>
        </is>
      </c>
      <c r="C5" s="7" t="inlineStr">
        <is>
          <t>Tabla de benchmarking completa</t>
        </is>
      </c>
    </row>
    <row r="6" ht="32" customHeight="1">
      <c r="A6" t="inlineStr">
        <is>
          <t>2-3</t>
        </is>
      </c>
      <c r="B6" s="7" t="inlineStr">
        <is>
          <t>Lista de 100 empresas, fundaciones y colegios objetivo, con decisor identificado, cargadas en EMPRESAS.</t>
        </is>
      </c>
      <c r="C6" s="7" t="inlineStr">
        <is>
          <t>100 filas en EMPRESAS</t>
        </is>
      </c>
    </row>
    <row r="7" ht="32" customHeight="1">
      <c r="A7" t="inlineStr">
        <is>
          <t>3</t>
        </is>
      </c>
      <c r="B7" s="7" t="inlineStr">
        <is>
          <t>Simulación de presentación con gerencia (gerente de una empresa de 40 empleados).</t>
        </is>
      </c>
      <c r="C7" s="7" t="inlineStr">
        <is>
          <t>Presentación aprobada</t>
        </is>
      </c>
    </row>
    <row r="8" ht="32" customHeight="1">
      <c r="A8" t="inlineStr">
        <is>
          <t>4-5</t>
        </is>
      </c>
      <c r="B8" s="7" t="inlineStr">
        <is>
          <t>Primeros contactos con decisor y primeras reuniones agendadas.</t>
        </is>
      </c>
      <c r="C8" s="7" t="inlineStr">
        <is>
          <t>≥ 10 contactos y ≥ 3 reuniones agendadas</t>
        </is>
      </c>
    </row>
    <row r="9" ht="32" customHeight="1">
      <c r="A9" t="inlineStr">
        <is>
          <t>5</t>
        </is>
      </c>
      <c r="B9" s="7" t="inlineStr">
        <is>
          <t>Formato de captura de datos para ferias con autorización de tratamiento de datos (Ley 1581).</t>
        </is>
      </c>
      <c r="C9" s="7" t="inlineStr">
        <is>
          <t>Formato listo</t>
        </is>
      </c>
    </row>
    <row r="12">
      <c r="A12" s="1" t="inlineStr">
        <is>
          <t>BENCHMARKING DE LA COMPETENCIA</t>
        </is>
      </c>
    </row>
    <row r="13" ht="32" customHeight="1">
      <c r="A13" s="9" t="inlineStr">
        <is>
          <t>Academia</t>
        </is>
      </c>
      <c r="B13" s="9" t="inlineStr">
        <is>
          <t>¿Garantía de aprendizaje por escrito?</t>
        </is>
      </c>
      <c r="C13" s="9" t="inlineStr">
        <is>
          <t>Oferta a empresas y precios</t>
        </is>
      </c>
      <c r="D13" s="9" t="inlineStr">
        <is>
          <t>Convenio con cajas de compensación</t>
        </is>
      </c>
      <c r="E13" s="9" t="inlineStr">
        <is>
          <t>Certificaciones</t>
        </is>
      </c>
      <c r="F13" s="9" t="inlineStr">
        <is>
          <t>Qué prometen en sus anuncios</t>
        </is>
      </c>
      <c r="G13" s="9" t="inlineStr">
        <is>
          <t>Fuente y fecha</t>
        </is>
      </c>
    </row>
    <row r="14" ht="30" customHeight="1">
      <c r="A14" s="2" t="inlineStr">
        <is>
          <t>Smart</t>
        </is>
      </c>
      <c r="B14" s="7" t="n"/>
      <c r="C14" s="7" t="n"/>
      <c r="D14" s="7" t="n"/>
      <c r="E14" s="7" t="n"/>
      <c r="F14" s="7" t="n"/>
      <c r="G14" s="7" t="n"/>
    </row>
    <row r="15" ht="30" customHeight="1">
      <c r="A15" s="2" t="inlineStr">
        <is>
          <t>Colombo Americano</t>
        </is>
      </c>
      <c r="B15" s="7" t="n"/>
      <c r="C15" s="7" t="n"/>
      <c r="D15" s="7" t="n"/>
      <c r="E15" s="7" t="n"/>
      <c r="F15" s="7" t="n"/>
      <c r="G15" s="7" t="n"/>
    </row>
    <row r="16" ht="30" customHeight="1">
      <c r="A16" s="2" t="inlineStr">
        <is>
          <t>Best English</t>
        </is>
      </c>
      <c r="B16" s="7" t="n"/>
      <c r="C16" s="7" t="n"/>
      <c r="D16" s="7" t="n"/>
      <c r="E16" s="7" t="n"/>
      <c r="F16" s="7" t="n"/>
      <c r="G16" s="7" t="n"/>
    </row>
    <row r="17" ht="30" customHeight="1">
      <c r="A17" s="2" t="inlineStr">
        <is>
          <t>Praxis</t>
        </is>
      </c>
      <c r="B17" s="7" t="n"/>
      <c r="C17" s="7" t="n"/>
      <c r="D17" s="7" t="n"/>
      <c r="E17" s="7" t="n"/>
      <c r="F17" s="7" t="n"/>
      <c r="G17" s="7" t="n"/>
    </row>
    <row r="18" ht="30" customHeight="1">
      <c r="A18" s="2" t="inlineStr">
        <is>
          <t>Lingui</t>
        </is>
      </c>
      <c r="B18" s="7" t="n"/>
      <c r="C18" s="7" t="n"/>
      <c r="D18" s="7" t="n"/>
      <c r="E18" s="7" t="n"/>
      <c r="F18" s="7" t="n"/>
      <c r="G18" s="7" t="n"/>
    </row>
    <row r="19" ht="30" customHeight="1">
      <c r="A19" s="2" t="inlineStr">
        <is>
          <t>Berlitz</t>
        </is>
      </c>
      <c r="B19" s="7" t="n"/>
      <c r="C19" s="7" t="n"/>
      <c r="D19" s="7" t="n"/>
      <c r="E19" s="7" t="n"/>
      <c r="F19" s="7" t="n"/>
      <c r="G19" s="7" t="n"/>
    </row>
    <row r="20" ht="30" customHeight="1">
      <c r="A20" s="2" t="inlineStr">
        <is>
          <t>Celai</t>
        </is>
      </c>
      <c r="B20" s="7" t="n"/>
      <c r="C20" s="7" t="n"/>
      <c r="D20" s="7" t="n"/>
      <c r="E20" s="7" t="n"/>
      <c r="F20" s="7" t="n"/>
      <c r="G20" s="7" t="n"/>
    </row>
    <row r="22">
      <c r="A22" s="4" t="inlineStr">
        <is>
          <t>Regla: hasta completar esta tabla, con empresas NO se dice "la única academia que la firma"; se dice "garantía de aprendizaje por escrito, sin letra pequeña".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2026-10-24T14:07:54Z</dcterms:created>
  <dcterms:modified xmlns:dcterms="http://purl.org/dc/terms/" xmlns:xsi="http://www.w3.org/2001/XMLSchema-instance" xsi:type="dcterms:W3CDTF">2026-10-24T14:07:54Z</dcterms:modified>
</cp:coreProperties>
</file>