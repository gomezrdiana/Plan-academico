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FF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26" customWidth="1" min="3" max="3"/>
    <col width="22" customWidth="1" min="4" max="4"/>
    <col width="14" customWidth="1" min="5" max="5"/>
    <col width="18" customWidth="1" min="6" max="6"/>
    <col width="20" customWidth="1" min="7" max="7"/>
    <col width="12" customWidth="1" min="8" max="8"/>
    <col width="28" customWidth="1" min="9" max="9"/>
    <col width="12" customWidth="1" min="10" max="10"/>
    <col width="14" customWidth="1" min="11" max="11"/>
    <col width="8" customWidth="1" min="12" max="12"/>
    <col width="14" customWidth="1" min="13" max="13"/>
    <col width="10" customWidth="1" min="14" max="14"/>
    <col width="10" customWidth="1" min="15" max="15"/>
    <col width="30" customWidth="1" min="16" max="16"/>
  </cols>
  <sheetData>
    <row r="1" ht="42" customHeight="1">
      <c r="A1" s="1" t="inlineStr">
        <is>
          <t>Empresa</t>
        </is>
      </c>
      <c r="B1" s="1" t="inlineStr">
        <is>
          <t>Sector</t>
        </is>
      </c>
      <c r="C1" s="1" t="inlineStr">
        <is>
          <t>Contacto (nombre y cargo)</t>
        </is>
      </c>
      <c r="D1" s="1" t="inlineStr">
        <is>
          <t>Teléfono / correo</t>
        </is>
      </c>
      <c r="E1" s="1" t="inlineStr">
        <is>
          <t>Fecha primer contacto</t>
        </is>
      </c>
      <c r="F1" s="1" t="inlineStr">
        <is>
          <t>Canal (llamada / visita / mensaje / referido)</t>
        </is>
      </c>
      <c r="G1" s="1" t="inlineStr">
        <is>
          <t>Estado</t>
        </is>
      </c>
      <c r="H1" s="1" t="inlineStr">
        <is>
          <t>Fecha reunión</t>
        </is>
      </c>
      <c r="I1" s="1" t="inlineStr">
        <is>
          <t>Próximo paso</t>
        </is>
      </c>
      <c r="J1" s="1" t="inlineStr">
        <is>
          <t>Fecha próximo paso</t>
        </is>
      </c>
      <c r="K1" s="1" t="inlineStr">
        <is>
          <t>Convenio firmado (fecha)</t>
        </is>
      </c>
      <c r="L1" s="1" t="inlineStr">
        <is>
          <t>Nº becas</t>
        </is>
      </c>
      <c r="M1" s="1" t="inlineStr">
        <is>
          <t>Reunión con gerencia (fecha)</t>
        </is>
      </c>
      <c r="N1" s="1" t="inlineStr">
        <is>
          <t>Leads llegados</t>
        </is>
      </c>
      <c r="O1" s="1" t="inlineStr">
        <is>
          <t>Matrículas</t>
        </is>
      </c>
      <c r="P1" s="1" t="inlineStr">
        <is>
          <t>Notas</t>
        </is>
      </c>
    </row>
  </sheetData>
  <dataValidations count="1">
    <dataValidation sqref="G2:G300" showDropDown="0" showInputMessage="0" showErrorMessage="0" allowBlank="1" type="list">
      <formula1>"Por contactar,Contactada (con respuesta),Reunión agendada,Reunión hecha,Convenio firmado,Pasó a gerencia (formación paga),No interesada,Sin respuesta"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2" t="inlineStr">
        <is>
          <t>RESUMEN DEL PILOTO (se calcula solo desde la hoja TRACKER)</t>
        </is>
      </c>
    </row>
    <row r="3">
      <c r="A3" s="3" t="inlineStr">
        <is>
          <t>Empresas en el tracker</t>
        </is>
      </c>
      <c r="B3">
        <f>COUNTA(TRACKER!A2:A300)</f>
        <v/>
      </c>
    </row>
    <row r="4">
      <c r="A4" s="3" t="inlineStr">
        <is>
          <t>Empresas contactadas (con respuesta)</t>
        </is>
      </c>
      <c r="B4">
        <f>COUNTIFS(TRACKER!G2:G300,"&lt;&gt;Por contactar",TRACKER!G2:G300,"&lt;&gt;Sin respuesta",TRACKER!G2:G300,"&lt;&gt;")</f>
        <v/>
      </c>
    </row>
    <row r="5">
      <c r="A5" s="3" t="inlineStr">
        <is>
          <t>Reuniones hechas</t>
        </is>
      </c>
      <c r="B5">
        <f>COUNTIF(TRACKER!H2:H300,"&lt;&gt;")</f>
        <v/>
      </c>
    </row>
    <row r="6">
      <c r="A6" s="3" t="inlineStr">
        <is>
          <t>Convenios firmados</t>
        </is>
      </c>
      <c r="B6">
        <f>COUNTIF(TRACKER!K2:K300,"&lt;&gt;")</f>
        <v/>
      </c>
    </row>
    <row r="7">
      <c r="A7" s="3" t="inlineStr">
        <is>
          <t>Becas comprometidas</t>
        </is>
      </c>
      <c r="B7">
        <f>SUM(TRACKER!L2:L300)</f>
        <v/>
      </c>
    </row>
    <row r="8">
      <c r="A8" s="3" t="inlineStr">
        <is>
          <t>Reuniones con gerencia (formación paga)</t>
        </is>
      </c>
      <c r="B8">
        <f>COUNTIF(TRACKER!M2:M300,"&lt;&gt;")</f>
        <v/>
      </c>
    </row>
    <row r="9">
      <c r="A9" s="3" t="inlineStr">
        <is>
          <t>Leads llegados por alianzas</t>
        </is>
      </c>
      <c r="B9">
        <f>SUM(TRACKER!N2:N300)</f>
        <v/>
      </c>
    </row>
    <row r="10">
      <c r="A10" s="3" t="inlineStr">
        <is>
          <t>Matrículas por alianza</t>
        </is>
      </c>
      <c r="B10">
        <f>SUM(TRACKER!O2:O300)</f>
        <v/>
      </c>
    </row>
    <row r="11">
      <c r="A11" s="3" t="inlineStr">
        <is>
          <t>Tasa contactada → reunión</t>
        </is>
      </c>
      <c r="B11" s="4">
        <f>IF(B3=0,0,B4/B3)</f>
        <v/>
      </c>
    </row>
    <row r="12">
      <c r="A12" s="3" t="inlineStr">
        <is>
          <t>Tasa reunión → convenio</t>
        </is>
      </c>
      <c r="B12" s="4">
        <f>IF(B4=0,0,B5/B4)</f>
        <v/>
      </c>
    </row>
    <row r="14">
      <c r="A14" t="inlineStr">
        <is>
          <t>Metas a 60 días: 10 contactadas · 5 reuniones · 3 convenios · 2 reuniones con gerencia · 10 leads · 3 matrículas. Cortes: día 30 y día 60.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2026-10-02T14:54:57Z</dcterms:created>
  <dcterms:modified xmlns:dcterms="http://purl.org/dc/terms/" xmlns:xsi="http://www.w3.org/2001/XMLSchema-instance" xsi:type="dcterms:W3CDTF">2026-10-02T14:54:57Z</dcterms:modified>
</cp:coreProperties>
</file>