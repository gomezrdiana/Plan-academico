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xContable\Documents\GLOBAL\COMERCIAL\REPORTE DE INGRESOS MENSUALES\"/>
    </mc:Choice>
  </mc:AlternateContent>
  <xr:revisionPtr revIDLastSave="0" documentId="13_ncr:1_{FD24F3D3-BDD8-45D5-A50C-DE35F8354ED4}" xr6:coauthVersionLast="47" xr6:coauthVersionMax="47" xr10:uidLastSave="{00000000-0000-0000-0000-000000000000}"/>
  <bookViews>
    <workbookView xWindow="-120" yWindow="-120" windowWidth="20730" windowHeight="11160" firstSheet="2" activeTab="3" xr2:uid="{9ACF2B6C-311C-4B5A-A17A-2D0C5F91A778}"/>
  </bookViews>
  <sheets>
    <sheet name="FEBR 2024 " sheetId="8" state="hidden" r:id="rId1"/>
    <sheet name="COMISIONES ABRIL ASESORAS" sheetId="48" r:id="rId2"/>
    <sheet name="COMISIONES MAYO ASESORAS" sheetId="50" r:id="rId3"/>
    <sheet name="COMISIONES JUNIO ASESORAS" sheetId="5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8" l="1"/>
  <c r="F8" i="48"/>
  <c r="E11" i="52"/>
  <c r="F11" i="52"/>
  <c r="F18" i="52" s="1"/>
  <c r="G14" i="52"/>
  <c r="F16" i="52"/>
  <c r="E16" i="52"/>
  <c r="G15" i="52"/>
  <c r="G16" i="52" s="1"/>
  <c r="G10" i="52"/>
  <c r="G9" i="52"/>
  <c r="G8" i="52"/>
  <c r="G7" i="52"/>
  <c r="G5" i="52"/>
  <c r="G6" i="52"/>
  <c r="G4" i="52"/>
  <c r="G3" i="52"/>
  <c r="G11" i="52" s="1"/>
  <c r="G18" i="52" s="1"/>
  <c r="F22" i="52"/>
  <c r="F12" i="50"/>
  <c r="G4" i="50"/>
  <c r="G5" i="50"/>
  <c r="G6" i="50"/>
  <c r="G7" i="50"/>
  <c r="F8" i="50"/>
  <c r="E8" i="50"/>
  <c r="G3" i="50"/>
  <c r="G8" i="50" s="1"/>
  <c r="H27" i="48"/>
  <c r="H19" i="48"/>
  <c r="H25" i="48" s="1"/>
  <c r="B16" i="48"/>
  <c r="B12" i="48"/>
  <c r="B13" i="48"/>
  <c r="B14" i="48"/>
  <c r="B15" i="48"/>
  <c r="D12" i="48"/>
  <c r="D16" i="48" s="1"/>
  <c r="E8" i="48"/>
  <c r="G4" i="48"/>
  <c r="G5" i="48"/>
  <c r="G6" i="48"/>
  <c r="G7" i="48"/>
  <c r="G3" i="48"/>
  <c r="G8" i="48" s="1"/>
  <c r="E18" i="52" l="1"/>
  <c r="C17" i="48"/>
  <c r="M29" i="48"/>
  <c r="M31" i="48" s="1"/>
  <c r="E36" i="8" l="1"/>
  <c r="E35" i="8"/>
  <c r="E34" i="8"/>
  <c r="D34" i="8"/>
  <c r="D36" i="8" s="1"/>
  <c r="E33" i="8"/>
  <c r="D33" i="8"/>
  <c r="B33" i="8"/>
  <c r="B35" i="8"/>
  <c r="B34" i="8"/>
  <c r="E29" i="8"/>
  <c r="D29" i="8"/>
  <c r="F29" i="8" l="1"/>
  <c r="B36" i="8"/>
</calcChain>
</file>

<file path=xl/sharedStrings.xml><?xml version="1.0" encoding="utf-8"?>
<sst xmlns="http://schemas.openxmlformats.org/spreadsheetml/2006/main" count="193" uniqueCount="96">
  <si>
    <t xml:space="preserve">MATRICULA </t>
  </si>
  <si>
    <t xml:space="preserve">NUEVO </t>
  </si>
  <si>
    <t xml:space="preserve">CUOTAS </t>
  </si>
  <si>
    <t xml:space="preserve">TOTAL </t>
  </si>
  <si>
    <t xml:space="preserve">ABONO </t>
  </si>
  <si>
    <t xml:space="preserve">ASESORA </t>
  </si>
  <si>
    <t>X</t>
  </si>
  <si>
    <t xml:space="preserve">Maria E </t>
  </si>
  <si>
    <t xml:space="preserve">CONTADO </t>
  </si>
  <si>
    <t xml:space="preserve">CUOTA </t>
  </si>
  <si>
    <t xml:space="preserve">Angelica </t>
  </si>
  <si>
    <t xml:space="preserve">Karla </t>
  </si>
  <si>
    <t xml:space="preserve">NUEVOS </t>
  </si>
  <si>
    <t xml:space="preserve">No </t>
  </si>
  <si>
    <t xml:space="preserve">NOMBRE </t>
  </si>
  <si>
    <t xml:space="preserve">Profe Emile - Personal </t>
  </si>
  <si>
    <t>Maria E</t>
  </si>
  <si>
    <t>Eva-Jennifer-Dra</t>
  </si>
  <si>
    <t xml:space="preserve">Jackeline </t>
  </si>
  <si>
    <t xml:space="preserve">Silvia =  Dra Wahts.. y Angelica linea </t>
  </si>
  <si>
    <t xml:space="preserve">Alejandra-Dra Diana </t>
  </si>
  <si>
    <t xml:space="preserve">8 LINEAS CORPORATIVAS ACTIVAS </t>
  </si>
  <si>
    <t xml:space="preserve">Andrea-Carla-Karla-Angelica </t>
  </si>
  <si>
    <t xml:space="preserve">Cliente </t>
  </si>
  <si>
    <t xml:space="preserve">Fecha </t>
  </si>
  <si>
    <t xml:space="preserve">Valor </t>
  </si>
  <si>
    <t>Asesora</t>
  </si>
  <si>
    <t>MATRICULAS NUEVAS ABRIL  2026</t>
  </si>
  <si>
    <t xml:space="preserve">Greysi J Florez Lozano </t>
  </si>
  <si>
    <t xml:space="preserve">Abono </t>
  </si>
  <si>
    <t xml:space="preserve">x pagar </t>
  </si>
  <si>
    <t xml:space="preserve">Vlro Total </t>
  </si>
  <si>
    <t xml:space="preserve">Niveles </t>
  </si>
  <si>
    <t>A1-B2</t>
  </si>
  <si>
    <t xml:space="preserve">Adriana </t>
  </si>
  <si>
    <t xml:space="preserve">Lewis D Martinez Jaimes </t>
  </si>
  <si>
    <t>B2</t>
  </si>
  <si>
    <t>Milton D Velasco Cuadros</t>
  </si>
  <si>
    <t>B1</t>
  </si>
  <si>
    <t>??</t>
  </si>
  <si>
    <t>B1 sab</t>
  </si>
  <si>
    <t xml:space="preserve">Jose Luis pendo contrato </t>
  </si>
  <si>
    <t xml:space="preserve">Nicol M Galvis Florez </t>
  </si>
  <si>
    <t xml:space="preserve">B1 y B2 </t>
  </si>
  <si>
    <t>No Contr</t>
  </si>
  <si>
    <t xml:space="preserve">Cliente nuevo </t>
  </si>
  <si>
    <t>Cliente antig</t>
  </si>
  <si>
    <t xml:space="preserve">% para comisiones </t>
  </si>
  <si>
    <t xml:space="preserve">Comis abril </t>
  </si>
  <si>
    <t>Honorar marz</t>
  </si>
  <si>
    <t xml:space="preserve">Honorar abril </t>
  </si>
  <si>
    <t xml:space="preserve">Honorrios </t>
  </si>
  <si>
    <t xml:space="preserve">Impuesto </t>
  </si>
  <si>
    <t xml:space="preserve">Total </t>
  </si>
  <si>
    <t xml:space="preserve">Abono 26 marz </t>
  </si>
  <si>
    <t>Abono 29 abril</t>
  </si>
  <si>
    <t xml:space="preserve">Abono 16 mayo </t>
  </si>
  <si>
    <t xml:space="preserve">Abono 6 mayo </t>
  </si>
  <si>
    <t>Saldo Josue N</t>
  </si>
  <si>
    <t xml:space="preserve">Saldo x pagar </t>
  </si>
  <si>
    <t xml:space="preserve">Relación Maria E Mantilla </t>
  </si>
  <si>
    <t xml:space="preserve">Saldo 20 mayo </t>
  </si>
  <si>
    <t xml:space="preserve">paz y salvo </t>
  </si>
  <si>
    <t xml:space="preserve">Maria Elena Parra Parra </t>
  </si>
  <si>
    <t>Alan Emir Contreras Guevara</t>
  </si>
  <si>
    <t xml:space="preserve">Melany J Rodriguez Gonzalez </t>
  </si>
  <si>
    <t xml:space="preserve">Douglas Y Puestes Acosta </t>
  </si>
  <si>
    <t xml:space="preserve">Paola A Diaz Cristancho </t>
  </si>
  <si>
    <t>Personaliz</t>
  </si>
  <si>
    <t>A1 Sabat</t>
  </si>
  <si>
    <t>A1 al B2 pm</t>
  </si>
  <si>
    <t>B2 intensiv</t>
  </si>
  <si>
    <t>Cliente antiguo el   2,5%</t>
  </si>
  <si>
    <t xml:space="preserve">Cliente nuevo el      5% </t>
  </si>
  <si>
    <t>Total Ingresos mayo 2026</t>
  </si>
  <si>
    <t>Comisión a pagar 5%</t>
  </si>
  <si>
    <t xml:space="preserve">INFORME DE LAS COMISIONES A PAGAR DEL MES DE MAYO DE 2026 A MARIA E MANTILLA ANTOLINEZ </t>
  </si>
  <si>
    <t xml:space="preserve">Erika Fajardo Marin </t>
  </si>
  <si>
    <t xml:space="preserve">Laura V Romero Marin </t>
  </si>
  <si>
    <t xml:space="preserve">Hasly Garcia </t>
  </si>
  <si>
    <t xml:space="preserve">INFORME DE LAS COMISIONES A PAGAR DEL MES DE JUNIO DE 2026 A MARIA E MANTILLA ANTOLINEZ </t>
  </si>
  <si>
    <t xml:space="preserve">Andres Camilo Quecho </t>
  </si>
  <si>
    <t>30 hras perso</t>
  </si>
  <si>
    <t xml:space="preserve">Dayana Gonzlaez </t>
  </si>
  <si>
    <t>Wendy Rodriguez</t>
  </si>
  <si>
    <t>Hector F Rodriguez</t>
  </si>
  <si>
    <t>Silfredo Tejera</t>
  </si>
  <si>
    <t xml:space="preserve">A-B2 pm </t>
  </si>
  <si>
    <t>A1 - B2 pm</t>
  </si>
  <si>
    <t>A1 - B2 intens</t>
  </si>
  <si>
    <t>A1 y A2 intens</t>
  </si>
  <si>
    <t>TOTALES</t>
  </si>
  <si>
    <t>Totales nuevos y abonoa</t>
  </si>
  <si>
    <t>Total Ingresos junio 2026</t>
  </si>
  <si>
    <t>Abonos matriculas de mayo 2026</t>
  </si>
  <si>
    <t xml:space="preserve">Douglas Y Puentes Acosta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</si>
</sst>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\ #,##0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64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17" fontId="0" fillId="0" borderId="0" xfId="0" applyNumberFormat="1" applyAlignment="1">
      <alignment vertical="center"/>
    </xf>
    <xf numFmtId="15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5" fontId="10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164" fontId="9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4" fontId="9" fillId="0" borderId="0" xfId="0" applyNumberFormat="1" applyFont="1"/>
    <xf numFmtId="0" fontId="9" fillId="2" borderId="0" xfId="0" applyFont="1" applyFill="1"/>
    <xf numFmtId="164" fontId="9" fillId="2" borderId="0" xfId="0" applyNumberFormat="1" applyFont="1" applyFill="1" applyAlignment="1">
      <alignment horizontal="center"/>
    </xf>
    <xf numFmtId="15" fontId="10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/>
    </xf>
    <xf numFmtId="0" fontId="10" fillId="0" borderId="0" xfId="0" applyFont="1"/>
    <xf numFmtId="15" fontId="10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5" fontId="13" fillId="0" borderId="0" xfId="0" applyNumberFormat="1" applyFont="1" applyAlignment="1">
      <alignment horizont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5" fontId="13" fillId="0" borderId="2" xfId="0" applyNumberFormat="1" applyFont="1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4" fillId="0" borderId="0" xfId="0" applyFont="1" applyAlignment="1">
      <alignment vertical="center" wrapText="1"/>
    </xf>
    <xf numFmtId="164" fontId="10" fillId="3" borderId="0" xfId="0" applyNumberFormat="1" applyFont="1" applyFill="1" applyAlignment="1">
      <alignment horizontal="center"/>
    </xf>
    <xf numFmtId="9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0" fontId="14" fillId="0" borderId="0" xfId="0" applyFont="1"/>
    <xf numFmtId="164" fontId="12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center"/>
    </xf>
    <xf numFmtId="164" fontId="12" fillId="2" borderId="0" xfId="0" applyNumberFormat="1" applyFont="1" applyFill="1" applyAlignment="1">
      <alignment horizontal="right"/>
    </xf>
    <xf numFmtId="0" fontId="12" fillId="0" borderId="0" xfId="0" applyFont="1" applyAlignment="1">
      <alignment horizontal="left"/>
    </xf>
    <xf numFmtId="6" fontId="12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left"/>
    </xf>
    <xf numFmtId="6" fontId="12" fillId="0" borderId="2" xfId="0" applyNumberFormat="1" applyFont="1" applyBorder="1" applyAlignment="1">
      <alignment horizontal="center"/>
    </xf>
    <xf numFmtId="9" fontId="9" fillId="0" borderId="0" xfId="0" applyNumberFormat="1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15" fontId="13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89CB-F598-432A-9895-33E701571227}">
  <dimension ref="A1:K37"/>
  <sheetViews>
    <sheetView topLeftCell="A19" workbookViewId="0">
      <selection activeCell="E18" sqref="E18"/>
    </sheetView>
  </sheetViews>
  <sheetFormatPr baseColWidth="10" defaultRowHeight="15" x14ac:dyDescent="0.25"/>
  <cols>
    <col min="2" max="2" width="9.7109375" customWidth="1"/>
    <col min="3" max="3" width="8.5703125" customWidth="1"/>
    <col min="4" max="4" width="13.5703125" customWidth="1"/>
    <col min="5" max="5" width="13.42578125" customWidth="1"/>
    <col min="6" max="6" width="18.5703125" customWidth="1"/>
    <col min="8" max="8" width="19" customWidth="1"/>
    <col min="9" max="9" width="16.85546875" customWidth="1"/>
  </cols>
  <sheetData>
    <row r="1" spans="1:11" ht="18" x14ac:dyDescent="0.25">
      <c r="A1" s="6" t="s">
        <v>0</v>
      </c>
      <c r="B1" s="6" t="s">
        <v>1</v>
      </c>
      <c r="C1" s="6" t="s">
        <v>9</v>
      </c>
      <c r="D1" s="6" t="s">
        <v>4</v>
      </c>
      <c r="E1" s="6" t="s">
        <v>8</v>
      </c>
      <c r="F1" s="6" t="s">
        <v>5</v>
      </c>
      <c r="G1" s="1"/>
      <c r="H1" s="82" t="s">
        <v>21</v>
      </c>
      <c r="I1" s="82"/>
      <c r="J1" s="82"/>
      <c r="K1" s="82"/>
    </row>
    <row r="2" spans="1:11" ht="18" x14ac:dyDescent="0.25">
      <c r="A2" s="1">
        <v>2042</v>
      </c>
      <c r="B2" s="1" t="s">
        <v>6</v>
      </c>
      <c r="C2" s="1"/>
      <c r="D2" s="2">
        <v>500000</v>
      </c>
      <c r="E2" s="2"/>
      <c r="F2" s="1" t="s">
        <v>7</v>
      </c>
      <c r="G2" s="1"/>
      <c r="H2" s="9" t="s">
        <v>13</v>
      </c>
      <c r="I2" s="9" t="s">
        <v>14</v>
      </c>
      <c r="J2" s="9"/>
      <c r="K2" s="9"/>
    </row>
    <row r="3" spans="1:11" ht="18" x14ac:dyDescent="0.25">
      <c r="A3" s="1">
        <v>2037</v>
      </c>
      <c r="B3" s="1" t="s">
        <v>6</v>
      </c>
      <c r="C3" s="1"/>
      <c r="D3" s="2"/>
      <c r="E3" s="2">
        <v>1199000</v>
      </c>
      <c r="F3" s="1" t="s">
        <v>7</v>
      </c>
      <c r="G3" s="1"/>
      <c r="H3" s="10">
        <v>3160178958</v>
      </c>
      <c r="I3" s="11" t="s">
        <v>19</v>
      </c>
      <c r="J3" s="11"/>
      <c r="K3" s="11"/>
    </row>
    <row r="4" spans="1:11" ht="18" x14ac:dyDescent="0.25">
      <c r="A4" s="1">
        <v>2041</v>
      </c>
      <c r="B4" s="1" t="s">
        <v>6</v>
      </c>
      <c r="C4" s="1"/>
      <c r="D4" s="2"/>
      <c r="E4" s="2">
        <v>2299000</v>
      </c>
      <c r="F4" s="1" t="s">
        <v>7</v>
      </c>
      <c r="G4" s="1"/>
      <c r="H4" s="10">
        <v>3165243791</v>
      </c>
      <c r="I4" s="11" t="s">
        <v>15</v>
      </c>
      <c r="J4" s="11"/>
      <c r="K4" s="11"/>
    </row>
    <row r="5" spans="1:11" ht="18" x14ac:dyDescent="0.25">
      <c r="A5" s="1">
        <v>2004</v>
      </c>
      <c r="B5" s="1"/>
      <c r="C5" s="1" t="s">
        <v>6</v>
      </c>
      <c r="D5" s="2">
        <v>360000</v>
      </c>
      <c r="E5" s="2"/>
      <c r="F5" s="1" t="s">
        <v>7</v>
      </c>
      <c r="G5" s="1"/>
      <c r="H5" s="10">
        <v>3177171051</v>
      </c>
      <c r="I5" s="11" t="s">
        <v>10</v>
      </c>
      <c r="J5" s="11"/>
      <c r="K5" s="11"/>
    </row>
    <row r="6" spans="1:11" ht="18" x14ac:dyDescent="0.25">
      <c r="A6" s="1">
        <v>2004</v>
      </c>
      <c r="B6" s="1"/>
      <c r="C6" s="1" t="s">
        <v>6</v>
      </c>
      <c r="D6" s="2">
        <v>360000</v>
      </c>
      <c r="E6" s="2"/>
      <c r="F6" s="1" t="s">
        <v>7</v>
      </c>
      <c r="G6" s="1"/>
      <c r="H6" s="10">
        <v>3177173641</v>
      </c>
      <c r="I6" s="11" t="s">
        <v>16</v>
      </c>
      <c r="J6" s="11"/>
      <c r="K6" s="11"/>
    </row>
    <row r="7" spans="1:11" ht="18" x14ac:dyDescent="0.25">
      <c r="A7" s="1">
        <v>2015</v>
      </c>
      <c r="B7" s="1"/>
      <c r="C7" s="1" t="s">
        <v>6</v>
      </c>
      <c r="D7" s="12">
        <v>3860000</v>
      </c>
      <c r="E7" s="2"/>
      <c r="F7" s="1" t="s">
        <v>10</v>
      </c>
      <c r="G7" s="1"/>
      <c r="H7" s="10">
        <v>3177573335</v>
      </c>
      <c r="I7" s="11" t="s">
        <v>17</v>
      </c>
      <c r="J7" s="11"/>
      <c r="K7" s="11"/>
    </row>
    <row r="8" spans="1:11" ht="18" x14ac:dyDescent="0.25">
      <c r="A8" s="1">
        <v>1965</v>
      </c>
      <c r="B8" s="1"/>
      <c r="C8" s="1" t="s">
        <v>6</v>
      </c>
      <c r="D8" s="2">
        <v>300000</v>
      </c>
      <c r="E8" s="2"/>
      <c r="F8" s="1" t="s">
        <v>11</v>
      </c>
      <c r="G8" s="1"/>
      <c r="H8" s="10">
        <v>3174149015</v>
      </c>
      <c r="I8" s="11" t="s">
        <v>18</v>
      </c>
      <c r="J8" s="11"/>
      <c r="K8" s="11"/>
    </row>
    <row r="9" spans="1:11" ht="18" x14ac:dyDescent="0.25">
      <c r="A9" s="1">
        <v>1879</v>
      </c>
      <c r="B9" s="1"/>
      <c r="C9" s="1" t="s">
        <v>6</v>
      </c>
      <c r="D9" s="2">
        <v>200000</v>
      </c>
      <c r="E9" s="2"/>
      <c r="F9" s="1" t="s">
        <v>7</v>
      </c>
      <c r="G9" s="1"/>
      <c r="H9" s="10">
        <v>3186310616</v>
      </c>
      <c r="I9" s="11" t="s">
        <v>20</v>
      </c>
      <c r="J9" s="11"/>
      <c r="K9" s="11"/>
    </row>
    <row r="10" spans="1:11" ht="18" x14ac:dyDescent="0.25">
      <c r="A10" s="1">
        <v>2009</v>
      </c>
      <c r="B10" s="1"/>
      <c r="C10" s="1" t="s">
        <v>6</v>
      </c>
      <c r="D10" s="2">
        <v>1780000</v>
      </c>
      <c r="E10" s="2"/>
      <c r="F10" s="1" t="s">
        <v>7</v>
      </c>
      <c r="G10" s="1"/>
      <c r="H10" s="10">
        <v>3187026973</v>
      </c>
      <c r="I10" s="11" t="s">
        <v>22</v>
      </c>
      <c r="J10" s="11"/>
      <c r="K10" s="11"/>
    </row>
    <row r="11" spans="1:11" x14ac:dyDescent="0.25">
      <c r="A11" s="1">
        <v>2036</v>
      </c>
      <c r="B11" s="1"/>
      <c r="C11" s="1" t="s">
        <v>6</v>
      </c>
      <c r="D11" s="2">
        <v>1000000</v>
      </c>
      <c r="E11" s="2"/>
      <c r="F11" s="1" t="s">
        <v>7</v>
      </c>
      <c r="G11" s="1"/>
      <c r="H11" s="1"/>
    </row>
    <row r="12" spans="1:11" x14ac:dyDescent="0.25">
      <c r="A12" s="1">
        <v>1677</v>
      </c>
      <c r="B12" s="1"/>
      <c r="C12" s="1" t="s">
        <v>6</v>
      </c>
      <c r="D12" s="2">
        <v>150000</v>
      </c>
      <c r="E12" s="2"/>
      <c r="F12" s="1" t="s">
        <v>7</v>
      </c>
      <c r="G12" s="1"/>
      <c r="H12" s="1"/>
    </row>
    <row r="13" spans="1:11" x14ac:dyDescent="0.25">
      <c r="A13" s="1">
        <v>1941</v>
      </c>
      <c r="B13" s="1"/>
      <c r="C13" s="1" t="s">
        <v>6</v>
      </c>
      <c r="D13" s="2">
        <v>700000</v>
      </c>
      <c r="E13" s="2"/>
      <c r="F13" s="1" t="s">
        <v>7</v>
      </c>
      <c r="G13" s="1"/>
      <c r="H13" s="1"/>
    </row>
    <row r="14" spans="1:11" x14ac:dyDescent="0.25">
      <c r="A14" s="1">
        <v>2019</v>
      </c>
      <c r="B14" s="1"/>
      <c r="C14" s="1" t="s">
        <v>6</v>
      </c>
      <c r="D14" s="2">
        <v>1000000</v>
      </c>
      <c r="E14" s="2"/>
      <c r="F14" s="1" t="s">
        <v>7</v>
      </c>
      <c r="G14" s="1"/>
      <c r="H14" s="1"/>
    </row>
    <row r="15" spans="1:11" x14ac:dyDescent="0.25">
      <c r="A15" s="1">
        <v>1893</v>
      </c>
      <c r="B15" s="1"/>
      <c r="C15" s="1" t="s">
        <v>6</v>
      </c>
      <c r="D15" s="2">
        <v>500000</v>
      </c>
      <c r="E15" s="2"/>
      <c r="F15" s="1" t="s">
        <v>7</v>
      </c>
      <c r="G15" s="1"/>
      <c r="H15" s="1"/>
    </row>
    <row r="16" spans="1:11" x14ac:dyDescent="0.25">
      <c r="A16" s="1">
        <v>2008</v>
      </c>
      <c r="B16" s="1"/>
      <c r="C16" s="1" t="s">
        <v>6</v>
      </c>
      <c r="D16" s="2">
        <v>760000</v>
      </c>
      <c r="E16" s="2"/>
      <c r="F16" s="1" t="s">
        <v>7</v>
      </c>
      <c r="G16" s="1"/>
      <c r="H16" s="1"/>
    </row>
    <row r="17" spans="1:7" x14ac:dyDescent="0.25">
      <c r="A17" s="1">
        <v>2038</v>
      </c>
      <c r="B17" s="1" t="s">
        <v>6</v>
      </c>
      <c r="C17" s="1"/>
      <c r="D17" s="2"/>
      <c r="E17" s="12">
        <v>2390500</v>
      </c>
      <c r="F17" s="1" t="s">
        <v>10</v>
      </c>
      <c r="G17" s="1"/>
    </row>
    <row r="18" spans="1:7" x14ac:dyDescent="0.25">
      <c r="A18" s="1">
        <v>2944</v>
      </c>
      <c r="B18" s="1" t="s">
        <v>6</v>
      </c>
      <c r="C18" s="1"/>
      <c r="D18" s="2"/>
      <c r="E18" s="2">
        <v>1290500</v>
      </c>
      <c r="F18" s="1" t="s">
        <v>7</v>
      </c>
      <c r="G18" s="1"/>
    </row>
    <row r="19" spans="1:7" x14ac:dyDescent="0.25">
      <c r="A19" s="1">
        <v>1989</v>
      </c>
      <c r="B19" s="1"/>
      <c r="C19" s="1" t="s">
        <v>6</v>
      </c>
      <c r="D19" s="2">
        <v>255000</v>
      </c>
      <c r="E19" s="2"/>
      <c r="F19" s="1" t="s">
        <v>7</v>
      </c>
      <c r="G19" s="1"/>
    </row>
    <row r="20" spans="1:7" x14ac:dyDescent="0.25">
      <c r="A20" s="1">
        <v>1988</v>
      </c>
      <c r="B20" s="1"/>
      <c r="C20" s="1" t="s">
        <v>6</v>
      </c>
      <c r="D20" s="2">
        <v>255000</v>
      </c>
      <c r="E20" s="2"/>
      <c r="F20" s="1" t="s">
        <v>7</v>
      </c>
      <c r="G20" s="1"/>
    </row>
    <row r="21" spans="1:7" x14ac:dyDescent="0.25">
      <c r="A21" s="1">
        <v>2043</v>
      </c>
      <c r="B21" s="1" t="s">
        <v>6</v>
      </c>
      <c r="C21" s="1"/>
      <c r="D21" s="2">
        <v>1400000</v>
      </c>
      <c r="E21" s="2"/>
      <c r="F21" s="1" t="s">
        <v>7</v>
      </c>
      <c r="G21" s="1"/>
    </row>
    <row r="22" spans="1:7" x14ac:dyDescent="0.25">
      <c r="A22" s="1">
        <v>2039</v>
      </c>
      <c r="B22" s="1" t="s">
        <v>6</v>
      </c>
      <c r="C22" s="1"/>
      <c r="D22" s="2"/>
      <c r="E22" s="2">
        <v>1290500</v>
      </c>
      <c r="F22" s="1" t="s">
        <v>7</v>
      </c>
      <c r="G22" s="1"/>
    </row>
    <row r="23" spans="1:7" x14ac:dyDescent="0.25">
      <c r="A23" s="1">
        <v>2045</v>
      </c>
      <c r="B23" s="1" t="s">
        <v>6</v>
      </c>
      <c r="C23" s="1"/>
      <c r="D23" s="2"/>
      <c r="E23" s="2">
        <v>1290500</v>
      </c>
      <c r="F23" s="1" t="s">
        <v>7</v>
      </c>
      <c r="G23" s="1"/>
    </row>
    <row r="24" spans="1:7" x14ac:dyDescent="0.25">
      <c r="A24" s="1">
        <v>1953</v>
      </c>
      <c r="B24" s="1"/>
      <c r="C24" s="1" t="s">
        <v>6</v>
      </c>
      <c r="D24" s="2">
        <v>600000</v>
      </c>
      <c r="E24" s="2"/>
      <c r="F24" s="1" t="s">
        <v>7</v>
      </c>
      <c r="G24" s="1"/>
    </row>
    <row r="25" spans="1:7" x14ac:dyDescent="0.25">
      <c r="A25" s="1">
        <v>1995</v>
      </c>
      <c r="B25" s="1"/>
      <c r="C25" s="1" t="s">
        <v>6</v>
      </c>
      <c r="D25" s="2">
        <v>700000</v>
      </c>
      <c r="E25" s="2"/>
      <c r="F25" s="1" t="s">
        <v>7</v>
      </c>
      <c r="G25" s="1"/>
    </row>
    <row r="26" spans="1:7" x14ac:dyDescent="0.25">
      <c r="A26" s="1">
        <v>2043</v>
      </c>
      <c r="B26" s="1"/>
      <c r="C26" s="1" t="s">
        <v>6</v>
      </c>
      <c r="D26" s="2">
        <v>899000</v>
      </c>
      <c r="E26" s="2"/>
      <c r="F26" s="1" t="s">
        <v>7</v>
      </c>
      <c r="G26" s="1"/>
    </row>
    <row r="27" spans="1:7" x14ac:dyDescent="0.25">
      <c r="A27" s="1"/>
      <c r="B27" s="1"/>
      <c r="C27" s="1"/>
      <c r="D27" s="2"/>
      <c r="E27" s="2"/>
      <c r="F27" s="1"/>
      <c r="G27" s="1"/>
    </row>
    <row r="28" spans="1:7" x14ac:dyDescent="0.25">
      <c r="A28" s="1"/>
      <c r="B28" s="1"/>
      <c r="C28" s="1"/>
      <c r="D28" s="2"/>
      <c r="E28" s="2"/>
      <c r="F28" s="1"/>
      <c r="G28" s="1"/>
    </row>
    <row r="29" spans="1:7" x14ac:dyDescent="0.25">
      <c r="A29" s="1"/>
      <c r="B29" s="1"/>
      <c r="C29" s="1"/>
      <c r="D29" s="3">
        <f>SUM(D2:D26)</f>
        <v>15579000</v>
      </c>
      <c r="E29" s="3">
        <f>SUM(E2:E26)</f>
        <v>9760000</v>
      </c>
      <c r="F29" s="3">
        <f>D29+E29</f>
        <v>25339000</v>
      </c>
      <c r="G29" s="1"/>
    </row>
    <row r="32" spans="1:7" x14ac:dyDescent="0.25">
      <c r="D32" s="1" t="s">
        <v>12</v>
      </c>
      <c r="E32" s="1" t="s">
        <v>2</v>
      </c>
    </row>
    <row r="33" spans="1:5" x14ac:dyDescent="0.25">
      <c r="A33" s="5" t="s">
        <v>7</v>
      </c>
      <c r="B33" s="80">
        <f>D2+E3+E4+D5+D6+D9+D10+D11+D12+D13+D14+D15+D16+E18+D19+D20+D21+D25+D26+E22+E23+D24</f>
        <v>18788500</v>
      </c>
      <c r="C33" s="80"/>
      <c r="D33" s="4">
        <f>E3+E4+E18+E22+E23</f>
        <v>7369500</v>
      </c>
      <c r="E33" s="4">
        <f>D2+D5+D6+D9+D10+D11+D12+D13+D14+D15+D16+D19+D20+D21+D24+D25+D26</f>
        <v>11419000</v>
      </c>
    </row>
    <row r="34" spans="1:5" x14ac:dyDescent="0.25">
      <c r="A34" s="5" t="s">
        <v>10</v>
      </c>
      <c r="B34" s="80">
        <f>D7+E17</f>
        <v>6250500</v>
      </c>
      <c r="C34" s="80"/>
      <c r="D34" s="4">
        <f>E17</f>
        <v>2390500</v>
      </c>
      <c r="E34" s="4">
        <f>D7</f>
        <v>3860000</v>
      </c>
    </row>
    <row r="35" spans="1:5" x14ac:dyDescent="0.25">
      <c r="A35" s="5" t="s">
        <v>11</v>
      </c>
      <c r="B35" s="80">
        <f>D8</f>
        <v>300000</v>
      </c>
      <c r="C35" s="80"/>
      <c r="D35" s="4">
        <v>0</v>
      </c>
      <c r="E35" s="4">
        <f>D8</f>
        <v>300000</v>
      </c>
    </row>
    <row r="36" spans="1:5" x14ac:dyDescent="0.25">
      <c r="A36" s="7" t="s">
        <v>3</v>
      </c>
      <c r="B36" s="81">
        <f>SUM(B33:B35)</f>
        <v>25339000</v>
      </c>
      <c r="C36" s="81"/>
      <c r="D36" s="8">
        <f>SUM(D33:D35)</f>
        <v>9760000</v>
      </c>
      <c r="E36" s="8">
        <f>SUM(E33:E35)</f>
        <v>15579000</v>
      </c>
    </row>
    <row r="37" spans="1:5" x14ac:dyDescent="0.25">
      <c r="E37" s="2"/>
    </row>
  </sheetData>
  <mergeCells count="5">
    <mergeCell ref="B33:C33"/>
    <mergeCell ref="B34:C34"/>
    <mergeCell ref="B35:C35"/>
    <mergeCell ref="B36:C36"/>
    <mergeCell ref="H1:K1"/>
  </mergeCells>
  <pageMargins left="2.0866141732283467" right="0.70866141732283472" top="1.9685039370078741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2AF8-4EE0-464A-90B6-0802D2213E2C}">
  <dimension ref="A1:O51"/>
  <sheetViews>
    <sheetView zoomScale="130" zoomScaleNormal="130" workbookViewId="0">
      <selection activeCell="H11" sqref="H11"/>
    </sheetView>
  </sheetViews>
  <sheetFormatPr baseColWidth="10" defaultRowHeight="15" x14ac:dyDescent="0.25"/>
  <cols>
    <col min="2" max="2" width="22.42578125" customWidth="1"/>
    <col min="3" max="3" width="9.42578125" customWidth="1"/>
    <col min="4" max="4" width="11.140625" customWidth="1"/>
    <col min="5" max="5" width="13.140625" customWidth="1"/>
    <col min="6" max="6" width="13.5703125" customWidth="1"/>
    <col min="7" max="7" width="13.7109375" customWidth="1"/>
    <col min="8" max="8" width="12.42578125" customWidth="1"/>
    <col min="9" max="9" width="10.5703125" customWidth="1"/>
    <col min="10" max="10" width="12" customWidth="1"/>
    <col min="11" max="11" width="20.140625" customWidth="1"/>
    <col min="12" max="12" width="10.42578125" customWidth="1"/>
    <col min="13" max="13" width="16.140625" customWidth="1"/>
    <col min="14" max="14" width="13.140625" customWidth="1"/>
    <col min="15" max="15" width="13.85546875" customWidth="1"/>
  </cols>
  <sheetData>
    <row r="1" spans="1:15" x14ac:dyDescent="0.25">
      <c r="A1" s="83" t="s">
        <v>27</v>
      </c>
      <c r="B1" s="83"/>
      <c r="C1" s="83"/>
      <c r="D1" s="83"/>
      <c r="E1" s="83"/>
      <c r="F1" s="83"/>
      <c r="G1" s="83"/>
      <c r="H1" s="83"/>
      <c r="I1" s="25"/>
      <c r="J1" s="24"/>
      <c r="K1" s="75"/>
      <c r="L1" s="75"/>
      <c r="M1" s="75"/>
      <c r="N1" s="24"/>
    </row>
    <row r="2" spans="1:15" x14ac:dyDescent="0.25">
      <c r="A2" s="46" t="s">
        <v>24</v>
      </c>
      <c r="B2" s="46" t="s">
        <v>23</v>
      </c>
      <c r="C2" s="46" t="s">
        <v>44</v>
      </c>
      <c r="D2" s="46" t="s">
        <v>32</v>
      </c>
      <c r="E2" s="46" t="s">
        <v>31</v>
      </c>
      <c r="F2" s="46" t="s">
        <v>29</v>
      </c>
      <c r="G2" s="46" t="s">
        <v>30</v>
      </c>
      <c r="H2" s="46" t="s">
        <v>26</v>
      </c>
      <c r="I2" s="25"/>
      <c r="J2" s="25"/>
      <c r="K2" s="25"/>
      <c r="L2" s="25"/>
      <c r="M2" s="25"/>
      <c r="N2" s="25"/>
    </row>
    <row r="3" spans="1:15" x14ac:dyDescent="0.25">
      <c r="A3" s="47">
        <v>46132</v>
      </c>
      <c r="B3" s="48" t="s">
        <v>28</v>
      </c>
      <c r="C3" s="46">
        <v>2418</v>
      </c>
      <c r="D3" s="46" t="s">
        <v>33</v>
      </c>
      <c r="E3" s="49">
        <v>5942515</v>
      </c>
      <c r="F3" s="49">
        <v>652400</v>
      </c>
      <c r="G3" s="49">
        <f>E3-F3</f>
        <v>5290115</v>
      </c>
      <c r="H3" s="50" t="s">
        <v>34</v>
      </c>
      <c r="I3" s="25"/>
      <c r="J3" s="26"/>
      <c r="K3" s="24"/>
      <c r="L3" s="25"/>
      <c r="M3" s="33"/>
      <c r="N3" s="25"/>
      <c r="O3" s="14"/>
    </row>
    <row r="4" spans="1:15" x14ac:dyDescent="0.25">
      <c r="A4" s="47">
        <v>46139</v>
      </c>
      <c r="B4" s="48" t="s">
        <v>35</v>
      </c>
      <c r="C4" s="46">
        <v>2420</v>
      </c>
      <c r="D4" s="46" t="s">
        <v>36</v>
      </c>
      <c r="E4" s="49">
        <v>2108000</v>
      </c>
      <c r="F4" s="49">
        <v>2108000</v>
      </c>
      <c r="G4" s="49">
        <f t="shared" ref="G4:G7" si="0">E4-F4</f>
        <v>0</v>
      </c>
      <c r="H4" s="46" t="s">
        <v>7</v>
      </c>
      <c r="I4" s="25"/>
      <c r="J4" s="26"/>
      <c r="K4" s="29"/>
      <c r="L4" s="25"/>
      <c r="M4" s="34"/>
      <c r="N4" s="25"/>
      <c r="O4" s="14"/>
    </row>
    <row r="5" spans="1:15" x14ac:dyDescent="0.25">
      <c r="A5" s="47">
        <v>46139</v>
      </c>
      <c r="B5" s="48" t="s">
        <v>37</v>
      </c>
      <c r="C5" s="46">
        <v>2419</v>
      </c>
      <c r="D5" s="46" t="s">
        <v>38</v>
      </c>
      <c r="E5" s="49">
        <v>2273600</v>
      </c>
      <c r="F5" s="49">
        <v>2273600</v>
      </c>
      <c r="G5" s="49">
        <f t="shared" si="0"/>
        <v>0</v>
      </c>
      <c r="H5" s="46" t="s">
        <v>7</v>
      </c>
      <c r="I5" s="25"/>
      <c r="J5" s="26"/>
      <c r="K5" s="24"/>
      <c r="L5" s="25"/>
      <c r="M5" s="33"/>
      <c r="N5" s="25"/>
      <c r="O5" s="14"/>
    </row>
    <row r="6" spans="1:15" x14ac:dyDescent="0.25">
      <c r="A6" s="47">
        <v>46140</v>
      </c>
      <c r="B6" s="48" t="s">
        <v>41</v>
      </c>
      <c r="C6" s="46" t="s">
        <v>39</v>
      </c>
      <c r="D6" s="46" t="s">
        <v>40</v>
      </c>
      <c r="E6" s="49">
        <v>1990000</v>
      </c>
      <c r="F6" s="49">
        <v>1990000</v>
      </c>
      <c r="G6" s="49">
        <f t="shared" si="0"/>
        <v>0</v>
      </c>
      <c r="H6" s="46" t="s">
        <v>7</v>
      </c>
      <c r="I6" s="25"/>
      <c r="J6" s="26"/>
      <c r="K6" s="24"/>
      <c r="L6" s="25"/>
      <c r="M6" s="33"/>
      <c r="N6" s="25"/>
      <c r="O6" s="14"/>
    </row>
    <row r="7" spans="1:15" ht="15.75" thickBot="1" x14ac:dyDescent="0.3">
      <c r="A7" s="51">
        <v>46141</v>
      </c>
      <c r="B7" s="52" t="s">
        <v>42</v>
      </c>
      <c r="C7" s="53">
        <v>2421</v>
      </c>
      <c r="D7" s="53" t="s">
        <v>43</v>
      </c>
      <c r="E7" s="54">
        <v>3888000</v>
      </c>
      <c r="F7" s="54">
        <v>3888000</v>
      </c>
      <c r="G7" s="54">
        <f t="shared" si="0"/>
        <v>0</v>
      </c>
      <c r="H7" s="53" t="s">
        <v>7</v>
      </c>
      <c r="I7" s="25"/>
      <c r="J7" s="26"/>
      <c r="K7" s="24"/>
      <c r="L7" s="25"/>
      <c r="M7" s="33"/>
      <c r="N7" s="25"/>
      <c r="O7" s="14"/>
    </row>
    <row r="8" spans="1:15" x14ac:dyDescent="0.25">
      <c r="A8" s="26"/>
      <c r="B8" s="24"/>
      <c r="C8" s="55" t="s">
        <v>3</v>
      </c>
      <c r="D8" s="55"/>
      <c r="E8" s="56">
        <f>SUM(E3:E7)</f>
        <v>16202115</v>
      </c>
      <c r="F8" s="56">
        <f>SUM(F3:F7)</f>
        <v>10912000</v>
      </c>
      <c r="G8" s="56">
        <f>SUM(G3:G7)</f>
        <v>5290115</v>
      </c>
      <c r="H8" s="25"/>
      <c r="I8" s="25"/>
      <c r="J8" s="26"/>
      <c r="K8" s="29"/>
      <c r="L8" s="25"/>
      <c r="M8" s="34"/>
      <c r="N8" s="25"/>
      <c r="O8" s="14"/>
    </row>
    <row r="9" spans="1:15" x14ac:dyDescent="0.25">
      <c r="A9" s="26"/>
      <c r="B9" s="24"/>
      <c r="C9" s="25"/>
      <c r="D9" s="25"/>
      <c r="E9" s="25"/>
      <c r="F9" s="33"/>
      <c r="G9" s="33"/>
      <c r="K9" s="29"/>
      <c r="L9" s="25"/>
      <c r="M9" s="34"/>
      <c r="N9" s="25"/>
      <c r="O9" s="14"/>
    </row>
    <row r="10" spans="1:15" x14ac:dyDescent="0.25">
      <c r="A10" s="26"/>
      <c r="B10" s="24"/>
      <c r="C10" s="25"/>
      <c r="D10" s="25"/>
      <c r="E10" s="25"/>
      <c r="F10" s="84" t="s">
        <v>47</v>
      </c>
      <c r="G10" s="84"/>
      <c r="H10" s="14">
        <f>F4+F5+F6+F7</f>
        <v>10259600</v>
      </c>
      <c r="K10" s="29"/>
      <c r="L10" s="25"/>
      <c r="M10" s="34"/>
      <c r="N10" s="25"/>
      <c r="O10" s="14"/>
    </row>
    <row r="11" spans="1:15" x14ac:dyDescent="0.25">
      <c r="A11" s="26"/>
      <c r="B11" s="25" t="s">
        <v>7</v>
      </c>
      <c r="C11" s="25"/>
      <c r="D11" s="26" t="s">
        <v>34</v>
      </c>
      <c r="E11" s="58"/>
      <c r="F11" s="58" t="s">
        <v>45</v>
      </c>
      <c r="G11" s="60">
        <v>0.05</v>
      </c>
      <c r="K11" s="29"/>
      <c r="L11" s="25"/>
      <c r="M11" s="30"/>
      <c r="N11" s="25"/>
      <c r="O11" s="14"/>
    </row>
    <row r="12" spans="1:15" x14ac:dyDescent="0.25">
      <c r="A12" s="26"/>
      <c r="B12" s="39">
        <f>F4*2.5%</f>
        <v>52700</v>
      </c>
      <c r="C12" s="25"/>
      <c r="D12" s="30">
        <f>F3*5%</f>
        <v>32620</v>
      </c>
      <c r="E12" s="58"/>
      <c r="F12" s="58" t="s">
        <v>46</v>
      </c>
      <c r="G12" s="61">
        <v>2.5000000000000001E-2</v>
      </c>
      <c r="K12" s="29"/>
      <c r="L12" s="25"/>
      <c r="M12" s="30"/>
      <c r="N12" s="25"/>
      <c r="O12" s="14"/>
    </row>
    <row r="13" spans="1:15" x14ac:dyDescent="0.25">
      <c r="A13" s="26"/>
      <c r="B13" s="62">
        <f>F5*5%</f>
        <v>113680</v>
      </c>
      <c r="C13" s="25"/>
      <c r="D13" s="30">
        <v>0</v>
      </c>
      <c r="E13" s="28"/>
      <c r="F13" s="28"/>
      <c r="G13" s="28"/>
      <c r="K13" s="31"/>
      <c r="L13" s="32"/>
      <c r="M13" s="30"/>
      <c r="N13" s="25"/>
      <c r="O13" s="14"/>
    </row>
    <row r="14" spans="1:15" x14ac:dyDescent="0.25">
      <c r="A14" s="26"/>
      <c r="B14" s="39">
        <f>F6*2.5%</f>
        <v>49750</v>
      </c>
      <c r="C14" s="25"/>
      <c r="D14" s="30">
        <v>0</v>
      </c>
      <c r="E14" s="28"/>
      <c r="F14" s="28"/>
      <c r="G14" s="85" t="s">
        <v>60</v>
      </c>
      <c r="H14" s="85"/>
      <c r="I14" s="85"/>
      <c r="K14" s="29"/>
      <c r="L14" s="25"/>
      <c r="M14" s="30"/>
      <c r="N14" s="25"/>
      <c r="O14" s="14"/>
    </row>
    <row r="15" spans="1:15" x14ac:dyDescent="0.25">
      <c r="A15" s="26"/>
      <c r="B15" s="39">
        <f>F7*2.5%</f>
        <v>97200</v>
      </c>
      <c r="C15" s="25"/>
      <c r="D15" s="30">
        <v>0</v>
      </c>
      <c r="E15" s="28"/>
      <c r="F15" s="28"/>
      <c r="G15" s="49" t="s">
        <v>51</v>
      </c>
      <c r="H15" s="63" t="s">
        <v>25</v>
      </c>
      <c r="I15" s="50" t="s">
        <v>52</v>
      </c>
      <c r="K15" s="29"/>
      <c r="L15" s="25"/>
      <c r="M15" s="30"/>
      <c r="N15" s="25"/>
      <c r="O15" s="14"/>
    </row>
    <row r="16" spans="1:15" ht="15.75" x14ac:dyDescent="0.25">
      <c r="A16" s="26"/>
      <c r="B16" s="45">
        <f>SUM(B12:B15)</f>
        <v>313330</v>
      </c>
      <c r="C16" s="25"/>
      <c r="D16" s="59">
        <f>SUM(D12:D15)</f>
        <v>32620</v>
      </c>
      <c r="E16" s="57"/>
      <c r="F16" s="57"/>
      <c r="G16" s="64" t="s">
        <v>49</v>
      </c>
      <c r="H16" s="49">
        <v>348845</v>
      </c>
      <c r="I16" s="49">
        <v>1155</v>
      </c>
      <c r="J16" s="26"/>
      <c r="K16" s="29"/>
      <c r="L16" s="25"/>
      <c r="M16" s="30"/>
      <c r="N16" s="25"/>
      <c r="O16" s="14"/>
    </row>
    <row r="17" spans="1:15" x14ac:dyDescent="0.25">
      <c r="A17" s="26"/>
      <c r="B17" s="25"/>
      <c r="C17" s="49">
        <f>B16+D16</f>
        <v>345950</v>
      </c>
      <c r="D17" s="26"/>
      <c r="E17" s="25"/>
      <c r="F17" s="33"/>
      <c r="G17" s="64" t="s">
        <v>48</v>
      </c>
      <c r="H17" s="49">
        <v>312296</v>
      </c>
      <c r="I17" s="49">
        <v>1034</v>
      </c>
      <c r="J17" s="26"/>
      <c r="K17" s="29"/>
      <c r="L17" s="25"/>
      <c r="M17" s="30"/>
      <c r="N17" s="25"/>
      <c r="O17" s="14"/>
    </row>
    <row r="18" spans="1:15" x14ac:dyDescent="0.25">
      <c r="A18" s="26"/>
      <c r="B18" s="25"/>
      <c r="C18" s="35"/>
      <c r="D18" s="35"/>
      <c r="E18" s="35"/>
      <c r="F18" s="35"/>
      <c r="G18" s="64" t="s">
        <v>50</v>
      </c>
      <c r="H18" s="49">
        <v>967000</v>
      </c>
      <c r="I18" s="49">
        <v>3300</v>
      </c>
      <c r="J18" s="26"/>
      <c r="K18" s="29"/>
      <c r="L18" s="25"/>
      <c r="M18" s="30"/>
      <c r="N18" s="25"/>
      <c r="O18" s="14"/>
    </row>
    <row r="19" spans="1:15" x14ac:dyDescent="0.25">
      <c r="A19" s="26"/>
      <c r="B19" s="24"/>
      <c r="C19" s="25"/>
      <c r="D19" s="25"/>
      <c r="E19" s="25"/>
      <c r="F19" s="33"/>
      <c r="G19" s="68" t="s">
        <v>53</v>
      </c>
      <c r="H19" s="56">
        <f>SUM(H16:H18)</f>
        <v>1628141</v>
      </c>
      <c r="I19" s="46"/>
      <c r="J19" s="26"/>
      <c r="K19" s="29"/>
      <c r="L19" s="25"/>
      <c r="M19" s="30"/>
      <c r="N19" s="25"/>
      <c r="O19" s="14"/>
    </row>
    <row r="20" spans="1:15" x14ac:dyDescent="0.25">
      <c r="A20" s="26"/>
      <c r="B20" s="24"/>
      <c r="C20" s="25"/>
      <c r="D20" s="25"/>
      <c r="E20" s="25"/>
      <c r="F20" s="33"/>
      <c r="G20" s="66" t="s">
        <v>54</v>
      </c>
      <c r="H20" s="67">
        <v>-180000</v>
      </c>
      <c r="I20" s="46"/>
      <c r="J20" s="26"/>
      <c r="K20" s="29"/>
      <c r="L20" s="25"/>
      <c r="M20" s="30"/>
      <c r="N20" s="25"/>
      <c r="O20" s="14"/>
    </row>
    <row r="21" spans="1:15" x14ac:dyDescent="0.25">
      <c r="A21" s="26"/>
      <c r="B21" s="24"/>
      <c r="C21" s="25"/>
      <c r="D21" s="25"/>
      <c r="E21" s="25"/>
      <c r="F21" s="33"/>
      <c r="G21" s="66" t="s">
        <v>55</v>
      </c>
      <c r="H21" s="67">
        <v>-50000</v>
      </c>
      <c r="I21" s="46"/>
      <c r="J21" s="26"/>
      <c r="K21" s="29"/>
      <c r="L21" s="25"/>
      <c r="M21" s="30"/>
      <c r="N21" s="25"/>
      <c r="O21" s="14"/>
    </row>
    <row r="22" spans="1:15" x14ac:dyDescent="0.25">
      <c r="A22" s="26"/>
      <c r="B22" s="24"/>
      <c r="C22" s="25"/>
      <c r="D22" s="25"/>
      <c r="E22" s="25"/>
      <c r="F22" s="33"/>
      <c r="G22" s="66" t="s">
        <v>57</v>
      </c>
      <c r="H22" s="67">
        <v>-1000000</v>
      </c>
      <c r="I22" s="46"/>
      <c r="J22" s="26"/>
      <c r="K22" s="29"/>
      <c r="L22" s="25"/>
      <c r="M22" s="30"/>
      <c r="N22" s="25"/>
      <c r="O22" s="14"/>
    </row>
    <row r="23" spans="1:15" x14ac:dyDescent="0.25">
      <c r="A23" s="26"/>
      <c r="B23" s="24"/>
      <c r="C23" s="25"/>
      <c r="D23" s="25"/>
      <c r="E23" s="25"/>
      <c r="F23" s="33"/>
      <c r="G23" s="66" t="s">
        <v>56</v>
      </c>
      <c r="H23" s="67">
        <v>-50000</v>
      </c>
      <c r="I23" s="46"/>
      <c r="J23" s="26"/>
      <c r="K23" s="29"/>
      <c r="L23" s="25"/>
      <c r="M23" s="30"/>
      <c r="N23" s="25"/>
      <c r="O23" s="14"/>
    </row>
    <row r="24" spans="1:15" x14ac:dyDescent="0.25">
      <c r="A24" s="26"/>
      <c r="B24" s="24"/>
      <c r="C24" s="25"/>
      <c r="D24" s="25"/>
      <c r="E24" s="25"/>
      <c r="F24" s="33"/>
      <c r="G24" s="66" t="s">
        <v>58</v>
      </c>
      <c r="H24" s="67">
        <v>-34400</v>
      </c>
      <c r="I24" s="46"/>
      <c r="J24" s="26"/>
      <c r="K24" s="29"/>
      <c r="L24" s="25"/>
      <c r="M24" s="28"/>
      <c r="N24" s="25"/>
      <c r="O24" s="14"/>
    </row>
    <row r="25" spans="1:15" x14ac:dyDescent="0.25">
      <c r="A25" s="26"/>
      <c r="B25" s="24"/>
      <c r="C25" s="25"/>
      <c r="D25" s="25"/>
      <c r="E25" s="25"/>
      <c r="F25" s="33"/>
      <c r="G25" s="56" t="s">
        <v>59</v>
      </c>
      <c r="H25" s="56">
        <f>SUM(H19:H24)</f>
        <v>313741</v>
      </c>
      <c r="I25" s="46"/>
      <c r="J25" s="26"/>
      <c r="K25" s="29"/>
      <c r="L25" s="25"/>
      <c r="M25" s="28"/>
      <c r="N25" s="25"/>
      <c r="O25" s="14"/>
    </row>
    <row r="26" spans="1:15" x14ac:dyDescent="0.25">
      <c r="A26" s="26"/>
      <c r="B26" s="24"/>
      <c r="C26" s="25"/>
      <c r="D26" s="25"/>
      <c r="E26" s="25"/>
      <c r="F26" s="33"/>
      <c r="G26" s="66" t="s">
        <v>61</v>
      </c>
      <c r="H26" s="67">
        <v>-313741</v>
      </c>
      <c r="I26" s="46"/>
      <c r="J26" s="26"/>
      <c r="K26" s="29"/>
      <c r="L26" s="25"/>
      <c r="M26" s="28"/>
      <c r="N26" s="25"/>
      <c r="O26" s="14"/>
    </row>
    <row r="27" spans="1:15" x14ac:dyDescent="0.25">
      <c r="A27" s="26"/>
      <c r="B27" s="24"/>
      <c r="C27" s="25"/>
      <c r="D27" s="25"/>
      <c r="E27" s="25"/>
      <c r="F27" s="33"/>
      <c r="G27" s="65" t="s">
        <v>62</v>
      </c>
      <c r="H27" s="49">
        <f>SUM(H25:H26)</f>
        <v>0</v>
      </c>
      <c r="I27" s="46"/>
      <c r="J27" s="26"/>
      <c r="K27" s="40"/>
      <c r="L27" s="32"/>
      <c r="M27" s="30"/>
      <c r="N27" s="25"/>
      <c r="O27" s="14"/>
    </row>
    <row r="28" spans="1:15" ht="15.75" thickBot="1" x14ac:dyDescent="0.3">
      <c r="A28" s="26"/>
      <c r="B28" s="24"/>
      <c r="C28" s="25"/>
      <c r="D28" s="25"/>
      <c r="E28" s="25"/>
      <c r="F28" s="33"/>
      <c r="G28" s="65"/>
      <c r="H28" s="46"/>
      <c r="I28" s="46"/>
      <c r="J28" s="41"/>
      <c r="K28" s="43"/>
      <c r="L28" s="42"/>
      <c r="M28" s="44"/>
      <c r="N28" s="42"/>
      <c r="O28" s="14"/>
    </row>
    <row r="29" spans="1:15" x14ac:dyDescent="0.25">
      <c r="A29" s="26"/>
      <c r="B29" s="24"/>
      <c r="C29" s="25"/>
      <c r="D29" s="25"/>
      <c r="E29" s="25"/>
      <c r="F29" s="33"/>
      <c r="G29" s="33"/>
      <c r="H29" s="25"/>
      <c r="I29" s="25"/>
      <c r="K29" s="27" t="s">
        <v>3</v>
      </c>
      <c r="L29" s="36"/>
      <c r="M29" s="37">
        <f>SUM(M3:M28)</f>
        <v>0</v>
      </c>
      <c r="O29" s="14"/>
    </row>
    <row r="30" spans="1:15" x14ac:dyDescent="0.25">
      <c r="A30" s="26"/>
      <c r="B30" s="24"/>
      <c r="C30" s="25"/>
      <c r="D30" s="25"/>
      <c r="E30" s="25"/>
      <c r="F30" s="33"/>
      <c r="G30" s="33"/>
      <c r="H30" s="25"/>
      <c r="I30" s="25"/>
      <c r="J30" s="26"/>
      <c r="K30" s="29"/>
      <c r="L30" s="25"/>
      <c r="M30" s="30"/>
      <c r="N30" s="25"/>
      <c r="O30" s="14"/>
    </row>
    <row r="31" spans="1:15" x14ac:dyDescent="0.25">
      <c r="A31" s="26"/>
      <c r="B31" s="24"/>
      <c r="C31" s="25"/>
      <c r="D31" s="25"/>
      <c r="E31" s="25"/>
      <c r="F31" s="33"/>
      <c r="G31" s="33"/>
      <c r="H31" s="25"/>
      <c r="I31" s="25"/>
      <c r="J31" s="26"/>
      <c r="K31" s="29"/>
      <c r="L31" s="24"/>
      <c r="M31" s="34">
        <f>F8+M29</f>
        <v>10912000</v>
      </c>
      <c r="N31" s="35"/>
      <c r="O31" s="14"/>
    </row>
    <row r="32" spans="1:15" x14ac:dyDescent="0.25">
      <c r="A32" s="26"/>
      <c r="B32" s="24"/>
      <c r="C32" s="25"/>
      <c r="D32" s="25"/>
      <c r="E32" s="25"/>
      <c r="F32" s="33"/>
      <c r="G32" s="33"/>
      <c r="H32" s="25"/>
      <c r="I32" s="25"/>
      <c r="L32" s="24"/>
      <c r="M32" s="34"/>
      <c r="N32" s="35"/>
      <c r="O32" s="14"/>
    </row>
    <row r="33" spans="1:15" x14ac:dyDescent="0.25">
      <c r="A33" s="26"/>
      <c r="B33" s="24"/>
      <c r="C33" s="25"/>
      <c r="D33" s="25"/>
      <c r="E33" s="25"/>
      <c r="F33" s="33"/>
      <c r="G33" s="33"/>
      <c r="H33" s="25"/>
      <c r="I33" s="25"/>
      <c r="L33" s="38"/>
      <c r="M33" s="34"/>
      <c r="N33" s="24"/>
      <c r="O33" s="14"/>
    </row>
    <row r="34" spans="1:15" x14ac:dyDescent="0.25">
      <c r="A34" s="26"/>
      <c r="B34" s="24"/>
      <c r="C34" s="25"/>
      <c r="D34" s="25"/>
      <c r="E34" s="25"/>
      <c r="F34" s="33"/>
      <c r="G34" s="33"/>
      <c r="H34" s="25"/>
      <c r="I34" s="25"/>
      <c r="L34" s="38"/>
      <c r="M34" s="34"/>
      <c r="N34" s="35"/>
      <c r="O34" s="14"/>
    </row>
    <row r="35" spans="1:15" x14ac:dyDescent="0.25">
      <c r="F35" s="14"/>
      <c r="G35" s="14"/>
      <c r="I35" s="25"/>
      <c r="M35" s="14"/>
      <c r="N35" s="14"/>
      <c r="O35" s="14"/>
    </row>
    <row r="36" spans="1:15" x14ac:dyDescent="0.25">
      <c r="I36" s="25"/>
      <c r="M36" s="14"/>
      <c r="O36" s="14"/>
    </row>
    <row r="37" spans="1:15" x14ac:dyDescent="0.25">
      <c r="I37" s="25"/>
      <c r="M37" s="14"/>
      <c r="O37" s="14"/>
    </row>
    <row r="38" spans="1:15" ht="18.75" x14ac:dyDescent="0.3">
      <c r="I38" s="17"/>
      <c r="M38" s="14"/>
      <c r="O38" s="14"/>
    </row>
    <row r="39" spans="1:15" ht="18.75" x14ac:dyDescent="0.3">
      <c r="I39" s="17"/>
      <c r="M39" s="14"/>
      <c r="O39" s="14"/>
    </row>
    <row r="40" spans="1:15" ht="18.75" x14ac:dyDescent="0.3">
      <c r="A40" s="20"/>
      <c r="H40" s="17"/>
      <c r="I40" s="17"/>
      <c r="K40" s="18"/>
      <c r="L40" s="17"/>
      <c r="M40" s="23"/>
      <c r="O40" s="14"/>
    </row>
    <row r="41" spans="1:15" ht="18.75" x14ac:dyDescent="0.3">
      <c r="A41" s="20"/>
      <c r="B41" s="18"/>
      <c r="C41" s="17"/>
      <c r="D41" s="17"/>
      <c r="E41" s="17"/>
      <c r="F41" s="23"/>
      <c r="G41" s="23"/>
      <c r="H41" s="17"/>
      <c r="I41" s="17"/>
      <c r="K41" s="18"/>
      <c r="L41" s="17"/>
      <c r="M41" s="23"/>
      <c r="O41" s="14"/>
    </row>
    <row r="42" spans="1:15" x14ac:dyDescent="0.25">
      <c r="B42" s="2"/>
      <c r="C42" s="2"/>
      <c r="D42" s="2"/>
      <c r="E42" s="2"/>
      <c r="F42" s="2"/>
      <c r="G42" s="2"/>
      <c r="H42" s="2"/>
      <c r="I42" s="2"/>
      <c r="K42" s="16"/>
      <c r="L42" s="15"/>
      <c r="M42" s="13"/>
    </row>
    <row r="43" spans="1:15" x14ac:dyDescent="0.25">
      <c r="B43" s="16"/>
      <c r="C43" s="16"/>
      <c r="D43" s="16"/>
      <c r="E43" s="16"/>
      <c r="F43" s="13"/>
      <c r="G43" s="13"/>
      <c r="H43" s="13"/>
      <c r="I43" s="13"/>
      <c r="K43" s="16"/>
      <c r="L43" s="15"/>
      <c r="M43" s="13"/>
    </row>
    <row r="44" spans="1:15" x14ac:dyDescent="0.25">
      <c r="B44" s="16"/>
      <c r="C44" s="16"/>
      <c r="D44" s="16"/>
      <c r="E44" s="16"/>
      <c r="F44" s="13"/>
      <c r="G44" s="13"/>
      <c r="H44" s="13"/>
      <c r="I44" s="13"/>
      <c r="K44" s="16"/>
      <c r="L44" s="15"/>
      <c r="M44" s="13"/>
    </row>
    <row r="45" spans="1:15" x14ac:dyDescent="0.25">
      <c r="B45" s="16"/>
      <c r="C45" s="16"/>
      <c r="D45" s="16"/>
      <c r="E45" s="16"/>
      <c r="F45" s="13"/>
      <c r="G45" s="13"/>
      <c r="H45" s="13"/>
      <c r="I45" s="13"/>
      <c r="K45" s="16"/>
      <c r="L45" s="15"/>
      <c r="M45" s="13"/>
    </row>
    <row r="46" spans="1:15" x14ac:dyDescent="0.25">
      <c r="B46" s="16"/>
      <c r="C46" s="16"/>
      <c r="D46" s="16"/>
      <c r="E46" s="16"/>
      <c r="F46" s="13"/>
      <c r="G46" s="13"/>
      <c r="H46" s="13"/>
      <c r="I46" s="13"/>
      <c r="K46" s="16"/>
      <c r="L46" s="15"/>
      <c r="M46" s="13"/>
    </row>
    <row r="47" spans="1:15" x14ac:dyDescent="0.25">
      <c r="B47" s="16"/>
      <c r="C47" s="16"/>
      <c r="D47" s="16"/>
      <c r="E47" s="16"/>
      <c r="F47" s="13"/>
      <c r="G47" s="13"/>
      <c r="H47" s="13"/>
      <c r="I47" s="13"/>
      <c r="K47" s="16"/>
      <c r="L47" s="15"/>
      <c r="M47" s="13"/>
    </row>
    <row r="48" spans="1:15" x14ac:dyDescent="0.25">
      <c r="B48" s="16"/>
      <c r="C48" s="16"/>
      <c r="D48" s="16"/>
      <c r="E48" s="16"/>
      <c r="F48" s="13"/>
      <c r="G48" s="13"/>
      <c r="H48" s="13"/>
      <c r="I48" s="13"/>
      <c r="K48" s="21"/>
      <c r="L48" s="21"/>
      <c r="M48" s="22"/>
    </row>
    <row r="49" spans="2:9" x14ac:dyDescent="0.25">
      <c r="B49" s="19"/>
      <c r="C49" s="19"/>
      <c r="D49" s="19"/>
      <c r="E49" s="19"/>
      <c r="F49" s="19"/>
      <c r="G49" s="19"/>
      <c r="H49" s="19"/>
      <c r="I49" s="19"/>
    </row>
    <row r="50" spans="2:9" x14ac:dyDescent="0.25">
      <c r="B50" s="2"/>
      <c r="C50" s="2"/>
      <c r="D50" s="2"/>
      <c r="E50" s="2"/>
      <c r="F50" s="2"/>
      <c r="G50" s="2"/>
      <c r="H50" s="2"/>
      <c r="I50" s="2"/>
    </row>
    <row r="51" spans="2:9" x14ac:dyDescent="0.25">
      <c r="B51" s="2"/>
      <c r="C51" s="2"/>
      <c r="D51" s="2"/>
      <c r="E51" s="2"/>
      <c r="F51" s="2"/>
      <c r="G51" s="2"/>
      <c r="H51" s="2"/>
      <c r="I51" s="2"/>
    </row>
  </sheetData>
  <mergeCells count="4">
    <mergeCell ref="A1:H1"/>
    <mergeCell ref="K1:M1"/>
    <mergeCell ref="F10:G10"/>
    <mergeCell ref="G14:I14"/>
  </mergeCells>
  <phoneticPr fontId="6" type="noConversion"/>
  <pageMargins left="0.70866141732283472" right="0.70866141732283472" top="0.74803149606299213" bottom="0.74803149606299213" header="0.31496062992125984" footer="0.31496062992125984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C576-1867-42D6-8FE0-9B46D2EA9D7A}">
  <dimension ref="A1:O36"/>
  <sheetViews>
    <sheetView zoomScale="130" zoomScaleNormal="130" workbookViewId="0">
      <selection activeCell="B12" sqref="B12:C12"/>
    </sheetView>
  </sheetViews>
  <sheetFormatPr baseColWidth="10" defaultRowHeight="15" x14ac:dyDescent="0.25"/>
  <cols>
    <col min="2" max="2" width="25.85546875" customWidth="1"/>
    <col min="3" max="3" width="9.42578125" customWidth="1"/>
    <col min="4" max="4" width="12.7109375" customWidth="1"/>
    <col min="5" max="5" width="13.140625" customWidth="1"/>
    <col min="6" max="6" width="13.5703125" customWidth="1"/>
    <col min="7" max="7" width="12.140625" customWidth="1"/>
    <col min="8" max="8" width="11.140625" customWidth="1"/>
    <col min="9" max="9" width="10.5703125" customWidth="1"/>
    <col min="10" max="10" width="12" customWidth="1"/>
    <col min="11" max="11" width="20.140625" customWidth="1"/>
    <col min="12" max="12" width="10.42578125" customWidth="1"/>
    <col min="13" max="13" width="16.140625" customWidth="1"/>
    <col min="14" max="14" width="13.140625" customWidth="1"/>
    <col min="15" max="15" width="13.85546875" customWidth="1"/>
  </cols>
  <sheetData>
    <row r="1" spans="1:15" ht="22.5" customHeight="1" x14ac:dyDescent="0.25">
      <c r="A1" s="74" t="s">
        <v>76</v>
      </c>
      <c r="B1" s="74"/>
      <c r="C1" s="74"/>
      <c r="D1" s="74"/>
      <c r="E1" s="74"/>
      <c r="F1" s="74"/>
      <c r="G1" s="74"/>
      <c r="H1" s="74"/>
      <c r="I1" s="25"/>
      <c r="J1" s="24"/>
      <c r="K1" s="75"/>
      <c r="L1" s="75"/>
      <c r="M1" s="75"/>
      <c r="N1" s="24"/>
    </row>
    <row r="2" spans="1:15" x14ac:dyDescent="0.25">
      <c r="A2" s="46" t="s">
        <v>24</v>
      </c>
      <c r="B2" s="46" t="s">
        <v>23</v>
      </c>
      <c r="C2" s="46" t="s">
        <v>44</v>
      </c>
      <c r="D2" s="46" t="s">
        <v>32</v>
      </c>
      <c r="E2" s="46" t="s">
        <v>31</v>
      </c>
      <c r="F2" s="46" t="s">
        <v>29</v>
      </c>
      <c r="G2" s="46" t="s">
        <v>30</v>
      </c>
      <c r="H2" s="46" t="s">
        <v>26</v>
      </c>
      <c r="I2" s="25"/>
      <c r="J2" s="25"/>
      <c r="K2" s="25"/>
      <c r="L2" s="25"/>
      <c r="M2" s="25"/>
      <c r="N2" s="25"/>
    </row>
    <row r="3" spans="1:15" x14ac:dyDescent="0.25">
      <c r="A3" s="47">
        <v>46147</v>
      </c>
      <c r="B3" s="69" t="s">
        <v>63</v>
      </c>
      <c r="C3" s="46">
        <v>2423</v>
      </c>
      <c r="D3" s="70" t="s">
        <v>68</v>
      </c>
      <c r="E3" s="49">
        <v>600000</v>
      </c>
      <c r="F3" s="49">
        <v>400000</v>
      </c>
      <c r="G3" s="49">
        <f>E3-F3</f>
        <v>200000</v>
      </c>
      <c r="H3" s="46" t="s">
        <v>7</v>
      </c>
      <c r="I3" s="25"/>
      <c r="J3" s="26"/>
      <c r="K3" s="24"/>
      <c r="L3" s="25"/>
      <c r="M3" s="33"/>
      <c r="N3" s="25"/>
      <c r="O3" s="14"/>
    </row>
    <row r="4" spans="1:15" x14ac:dyDescent="0.25">
      <c r="A4" s="47">
        <v>46147</v>
      </c>
      <c r="B4" s="48" t="s">
        <v>64</v>
      </c>
      <c r="C4" s="46">
        <v>2424</v>
      </c>
      <c r="D4" s="70" t="s">
        <v>69</v>
      </c>
      <c r="E4" s="49">
        <v>1326800</v>
      </c>
      <c r="F4" s="49">
        <v>1326800</v>
      </c>
      <c r="G4" s="49">
        <f t="shared" ref="G4:G7" si="0">E4-F4</f>
        <v>0</v>
      </c>
      <c r="H4" s="46" t="s">
        <v>7</v>
      </c>
      <c r="I4" s="25"/>
      <c r="J4" s="26"/>
      <c r="K4" s="29"/>
      <c r="L4" s="25"/>
      <c r="M4" s="34"/>
      <c r="N4" s="25"/>
      <c r="O4" s="14"/>
    </row>
    <row r="5" spans="1:15" x14ac:dyDescent="0.25">
      <c r="A5" s="47">
        <v>46155</v>
      </c>
      <c r="B5" s="69" t="s">
        <v>65</v>
      </c>
      <c r="C5" s="46">
        <v>2425</v>
      </c>
      <c r="D5" s="70" t="s">
        <v>71</v>
      </c>
      <c r="E5" s="49">
        <v>1440000</v>
      </c>
      <c r="F5" s="49">
        <v>1440000</v>
      </c>
      <c r="G5" s="49">
        <f t="shared" si="0"/>
        <v>0</v>
      </c>
      <c r="H5" s="46" t="s">
        <v>7</v>
      </c>
      <c r="I5" s="25"/>
      <c r="J5" s="26"/>
      <c r="K5" s="29"/>
      <c r="L5" s="25"/>
      <c r="M5" s="34"/>
      <c r="N5" s="25"/>
      <c r="O5" s="14"/>
    </row>
    <row r="6" spans="1:15" x14ac:dyDescent="0.25">
      <c r="A6" s="47">
        <v>46169</v>
      </c>
      <c r="B6" s="69" t="s">
        <v>95</v>
      </c>
      <c r="C6" s="46">
        <v>2426</v>
      </c>
      <c r="D6" s="70" t="s">
        <v>70</v>
      </c>
      <c r="E6" s="49">
        <v>4782800</v>
      </c>
      <c r="F6" s="49">
        <v>500000</v>
      </c>
      <c r="G6" s="49">
        <f t="shared" si="0"/>
        <v>4282800</v>
      </c>
      <c r="H6" s="46" t="s">
        <v>7</v>
      </c>
      <c r="I6" s="25"/>
      <c r="J6" s="26"/>
      <c r="K6" s="29"/>
      <c r="L6" s="25"/>
      <c r="M6" s="34"/>
      <c r="N6" s="25"/>
      <c r="O6" s="14"/>
    </row>
    <row r="7" spans="1:15" ht="15.75" thickBot="1" x14ac:dyDescent="0.3">
      <c r="A7" s="51">
        <v>46171</v>
      </c>
      <c r="B7" s="71" t="s">
        <v>67</v>
      </c>
      <c r="C7" s="53">
        <v>2428</v>
      </c>
      <c r="D7" s="72" t="s">
        <v>68</v>
      </c>
      <c r="E7" s="54">
        <v>2215000</v>
      </c>
      <c r="F7" s="54">
        <v>2215000</v>
      </c>
      <c r="G7" s="54">
        <f t="shared" si="0"/>
        <v>0</v>
      </c>
      <c r="H7" s="53" t="s">
        <v>7</v>
      </c>
      <c r="I7" s="25"/>
      <c r="J7" s="26"/>
      <c r="K7" s="24"/>
      <c r="L7" s="25"/>
      <c r="M7" s="33"/>
      <c r="N7" s="25"/>
      <c r="O7" s="14"/>
    </row>
    <row r="8" spans="1:15" x14ac:dyDescent="0.25">
      <c r="A8" s="47"/>
      <c r="B8" s="48"/>
      <c r="C8" s="55" t="s">
        <v>3</v>
      </c>
      <c r="D8" s="55"/>
      <c r="E8" s="56">
        <f>SUM(E3:E7)</f>
        <v>10364600</v>
      </c>
      <c r="F8" s="56">
        <f>SUM(F3:F7)</f>
        <v>5881800</v>
      </c>
      <c r="G8" s="56">
        <f>SUM(G3:G7)</f>
        <v>4482800</v>
      </c>
      <c r="H8" s="46"/>
      <c r="I8" s="25"/>
      <c r="J8" s="26"/>
      <c r="K8" s="29"/>
      <c r="L8" s="25"/>
      <c r="M8" s="34"/>
      <c r="N8" s="25"/>
      <c r="O8" s="14"/>
    </row>
    <row r="9" spans="1:15" x14ac:dyDescent="0.25">
      <c r="A9" s="26"/>
      <c r="B9" s="24"/>
      <c r="C9" s="25"/>
      <c r="D9" s="25"/>
      <c r="E9" s="73"/>
      <c r="F9" s="28"/>
      <c r="G9" s="33"/>
      <c r="K9" s="29"/>
      <c r="L9" s="25"/>
      <c r="M9" s="34"/>
      <c r="N9" s="25"/>
      <c r="O9" s="14"/>
    </row>
    <row r="10" spans="1:15" x14ac:dyDescent="0.25">
      <c r="A10" s="26"/>
      <c r="B10" s="28" t="s">
        <v>47</v>
      </c>
      <c r="C10" s="35"/>
      <c r="D10" s="25"/>
      <c r="E10" s="25"/>
      <c r="H10" s="14"/>
      <c r="K10" s="29"/>
      <c r="L10" s="25"/>
      <c r="M10" s="34"/>
      <c r="N10" s="25"/>
      <c r="O10" s="14"/>
    </row>
    <row r="11" spans="1:15" x14ac:dyDescent="0.25">
      <c r="A11" s="26"/>
      <c r="B11" s="58" t="s">
        <v>73</v>
      </c>
      <c r="C11" s="60"/>
      <c r="D11" s="76" t="s">
        <v>74</v>
      </c>
      <c r="E11" s="76"/>
      <c r="F11" s="2">
        <v>5881800</v>
      </c>
      <c r="K11" s="29"/>
      <c r="L11" s="25"/>
      <c r="M11" s="30"/>
      <c r="N11" s="25"/>
      <c r="O11" s="14"/>
    </row>
    <row r="12" spans="1:15" x14ac:dyDescent="0.25">
      <c r="A12" s="26"/>
      <c r="B12" s="58" t="s">
        <v>72</v>
      </c>
      <c r="C12" s="61"/>
      <c r="D12" s="77" t="s">
        <v>75</v>
      </c>
      <c r="E12" s="77"/>
      <c r="F12" s="12">
        <f>F11*5%</f>
        <v>294090</v>
      </c>
      <c r="K12" s="29"/>
      <c r="L12" s="25"/>
      <c r="M12" s="30"/>
      <c r="N12" s="25"/>
      <c r="O12" s="14"/>
    </row>
    <row r="13" spans="1:15" x14ac:dyDescent="0.25">
      <c r="A13" s="26"/>
      <c r="B13" s="39"/>
      <c r="C13" s="25"/>
      <c r="D13" s="30"/>
      <c r="E13" s="28"/>
      <c r="F13" s="28"/>
      <c r="G13" s="28"/>
      <c r="K13" s="31"/>
      <c r="L13" s="32"/>
      <c r="M13" s="30"/>
      <c r="N13" s="25"/>
      <c r="O13" s="14"/>
    </row>
    <row r="14" spans="1:15" x14ac:dyDescent="0.25">
      <c r="A14" s="26"/>
      <c r="B14" s="24"/>
      <c r="C14" s="25"/>
      <c r="D14" s="25"/>
      <c r="E14" s="25"/>
      <c r="F14" s="28"/>
      <c r="G14" s="33"/>
      <c r="H14" s="25"/>
      <c r="I14" s="25"/>
      <c r="K14" s="25"/>
      <c r="L14" s="24"/>
      <c r="M14" s="28"/>
      <c r="O14" s="14"/>
    </row>
    <row r="15" spans="1:15" x14ac:dyDescent="0.25">
      <c r="A15" s="26"/>
      <c r="B15" s="24"/>
      <c r="C15" s="25"/>
      <c r="D15" s="25"/>
      <c r="E15" s="25"/>
      <c r="F15" s="28"/>
      <c r="G15" s="33"/>
      <c r="H15" s="25"/>
      <c r="I15" s="25"/>
      <c r="J15" s="26"/>
      <c r="K15" s="29"/>
      <c r="L15" s="25"/>
      <c r="M15" s="30"/>
      <c r="N15" s="25"/>
      <c r="O15" s="14"/>
    </row>
    <row r="16" spans="1:15" x14ac:dyDescent="0.25">
      <c r="A16" s="26"/>
      <c r="B16" s="24"/>
      <c r="C16" s="25"/>
      <c r="D16" s="25"/>
      <c r="E16" s="25"/>
      <c r="F16" s="33"/>
      <c r="G16" s="33"/>
      <c r="H16" s="25"/>
      <c r="I16" s="25"/>
      <c r="J16" s="26"/>
      <c r="K16" s="29"/>
      <c r="L16" s="24"/>
      <c r="M16" s="34"/>
      <c r="N16" s="35"/>
      <c r="O16" s="14"/>
    </row>
    <row r="17" spans="1:15" x14ac:dyDescent="0.25">
      <c r="A17" s="26"/>
      <c r="B17" s="24"/>
      <c r="C17" s="25"/>
      <c r="D17" s="25"/>
      <c r="E17" s="25"/>
      <c r="F17" s="33"/>
      <c r="G17" s="33"/>
      <c r="H17" s="25"/>
      <c r="I17" s="25"/>
      <c r="L17" s="24"/>
      <c r="M17" s="34"/>
      <c r="N17" s="35"/>
      <c r="O17" s="14"/>
    </row>
    <row r="18" spans="1:15" x14ac:dyDescent="0.25">
      <c r="A18" s="26"/>
      <c r="B18" s="24"/>
      <c r="C18" s="25"/>
      <c r="D18" s="25"/>
      <c r="E18" s="25"/>
      <c r="F18" s="33"/>
      <c r="G18" s="33"/>
      <c r="H18" s="25"/>
      <c r="I18" s="25"/>
      <c r="L18" s="38"/>
      <c r="M18" s="34"/>
      <c r="N18" s="24"/>
      <c r="O18" s="14"/>
    </row>
    <row r="19" spans="1:15" x14ac:dyDescent="0.25">
      <c r="A19" s="26"/>
      <c r="B19" s="24"/>
      <c r="C19" s="25"/>
      <c r="D19" s="25"/>
      <c r="E19" s="25"/>
      <c r="F19" s="33"/>
      <c r="G19" s="33"/>
      <c r="H19" s="25"/>
      <c r="I19" s="25"/>
      <c r="L19" s="38"/>
      <c r="M19" s="34"/>
      <c r="N19" s="35"/>
      <c r="O19" s="14"/>
    </row>
    <row r="20" spans="1:15" x14ac:dyDescent="0.25">
      <c r="F20" s="14"/>
      <c r="G20" s="14"/>
      <c r="I20" s="25"/>
      <c r="M20" s="14"/>
      <c r="N20" s="14"/>
      <c r="O20" s="14"/>
    </row>
    <row r="21" spans="1:15" x14ac:dyDescent="0.25">
      <c r="I21" s="25"/>
      <c r="M21" s="14"/>
      <c r="O21" s="14"/>
    </row>
    <row r="22" spans="1:15" x14ac:dyDescent="0.25">
      <c r="I22" s="25"/>
      <c r="M22" s="14"/>
      <c r="O22" s="14"/>
    </row>
    <row r="23" spans="1:15" ht="18.75" x14ac:dyDescent="0.3">
      <c r="I23" s="17"/>
      <c r="M23" s="14"/>
      <c r="O23" s="14"/>
    </row>
    <row r="24" spans="1:15" ht="18.75" x14ac:dyDescent="0.3">
      <c r="I24" s="17"/>
      <c r="M24" s="14"/>
      <c r="O24" s="14"/>
    </row>
    <row r="25" spans="1:15" ht="18.75" x14ac:dyDescent="0.3">
      <c r="A25" s="20"/>
      <c r="H25" s="17"/>
      <c r="I25" s="17"/>
      <c r="K25" s="18"/>
      <c r="L25" s="17"/>
      <c r="M25" s="23"/>
      <c r="O25" s="14"/>
    </row>
    <row r="26" spans="1:15" ht="18.75" x14ac:dyDescent="0.3">
      <c r="A26" s="20"/>
      <c r="B26" s="18"/>
      <c r="C26" s="17"/>
      <c r="D26" s="17"/>
      <c r="E26" s="17"/>
      <c r="F26" s="23"/>
      <c r="G26" s="23"/>
      <c r="H26" s="17"/>
      <c r="I26" s="17"/>
      <c r="K26" s="18"/>
      <c r="L26" s="17"/>
      <c r="M26" s="23"/>
      <c r="O26" s="14"/>
    </row>
    <row r="27" spans="1:15" x14ac:dyDescent="0.25">
      <c r="B27" s="2"/>
      <c r="C27" s="2"/>
      <c r="D27" s="2"/>
      <c r="E27" s="2"/>
      <c r="F27" s="2"/>
      <c r="G27" s="2"/>
      <c r="H27" s="2"/>
      <c r="I27" s="2"/>
      <c r="K27" s="16"/>
      <c r="L27" s="15"/>
      <c r="M27" s="13"/>
    </row>
    <row r="28" spans="1:15" x14ac:dyDescent="0.25">
      <c r="B28" s="16"/>
      <c r="C28" s="16"/>
      <c r="D28" s="16"/>
      <c r="E28" s="16"/>
      <c r="F28" s="13"/>
      <c r="G28" s="13"/>
      <c r="H28" s="13"/>
      <c r="I28" s="13"/>
      <c r="K28" s="16"/>
      <c r="L28" s="15"/>
      <c r="M28" s="13"/>
    </row>
    <row r="29" spans="1:15" x14ac:dyDescent="0.25">
      <c r="B29" s="16"/>
      <c r="C29" s="16"/>
      <c r="D29" s="16"/>
      <c r="E29" s="16"/>
      <c r="F29" s="13"/>
      <c r="G29" s="13"/>
      <c r="H29" s="13"/>
      <c r="I29" s="13"/>
      <c r="K29" s="16"/>
      <c r="L29" s="15"/>
      <c r="M29" s="13"/>
    </row>
    <row r="30" spans="1:15" x14ac:dyDescent="0.25">
      <c r="B30" s="16"/>
      <c r="C30" s="16"/>
      <c r="D30" s="16"/>
      <c r="E30" s="16"/>
      <c r="F30" s="13"/>
      <c r="G30" s="13"/>
      <c r="H30" s="13"/>
      <c r="I30" s="13"/>
      <c r="K30" s="16"/>
      <c r="L30" s="15"/>
      <c r="M30" s="13"/>
    </row>
    <row r="31" spans="1:15" x14ac:dyDescent="0.25">
      <c r="B31" s="16"/>
      <c r="C31" s="16"/>
      <c r="D31" s="16"/>
      <c r="E31" s="16"/>
      <c r="F31" s="13"/>
      <c r="G31" s="13"/>
      <c r="H31" s="13"/>
      <c r="I31" s="13"/>
      <c r="K31" s="16"/>
      <c r="L31" s="15"/>
      <c r="M31" s="13"/>
    </row>
    <row r="32" spans="1:15" x14ac:dyDescent="0.25">
      <c r="B32" s="16"/>
      <c r="C32" s="16"/>
      <c r="D32" s="16"/>
      <c r="E32" s="16"/>
      <c r="F32" s="13"/>
      <c r="G32" s="13"/>
      <c r="H32" s="13"/>
      <c r="I32" s="13"/>
      <c r="K32" s="16"/>
      <c r="L32" s="15"/>
      <c r="M32" s="13"/>
    </row>
    <row r="33" spans="2:13" x14ac:dyDescent="0.25">
      <c r="B33" s="16"/>
      <c r="C33" s="16"/>
      <c r="D33" s="16"/>
      <c r="E33" s="16"/>
      <c r="F33" s="13"/>
      <c r="G33" s="13"/>
      <c r="H33" s="13"/>
      <c r="I33" s="13"/>
      <c r="K33" s="21"/>
      <c r="L33" s="21"/>
      <c r="M33" s="22"/>
    </row>
    <row r="34" spans="2:13" x14ac:dyDescent="0.25">
      <c r="B34" s="19"/>
      <c r="C34" s="19"/>
      <c r="D34" s="19"/>
      <c r="E34" s="19"/>
      <c r="F34" s="19"/>
      <c r="G34" s="19"/>
      <c r="H34" s="19"/>
      <c r="I34" s="19"/>
    </row>
    <row r="35" spans="2:13" x14ac:dyDescent="0.25">
      <c r="B35" s="2"/>
      <c r="C35" s="2"/>
      <c r="D35" s="2"/>
      <c r="E35" s="2"/>
      <c r="F35" s="2"/>
      <c r="G35" s="2"/>
      <c r="H35" s="2"/>
      <c r="I35" s="2"/>
    </row>
    <row r="36" spans="2:13" x14ac:dyDescent="0.25">
      <c r="B36" s="2"/>
      <c r="C36" s="2"/>
      <c r="D36" s="2"/>
      <c r="E36" s="2"/>
      <c r="F36" s="2"/>
      <c r="G36" s="2"/>
      <c r="H36" s="2"/>
      <c r="I36" s="2"/>
    </row>
  </sheetData>
  <mergeCells count="4">
    <mergeCell ref="D12:E12"/>
    <mergeCell ref="A1:H1"/>
    <mergeCell ref="K1:M1"/>
    <mergeCell ref="D11:E11"/>
  </mergeCells>
  <pageMargins left="0.70866141732283472" right="0.70866141732283472" top="0.74803149606299213" bottom="0.74803149606299213" header="0.31496062992125984" footer="0.31496062992125984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41DB-FE6E-4AA3-8D2E-9C990F695A92}">
  <dimension ref="A1:N46"/>
  <sheetViews>
    <sheetView tabSelected="1" topLeftCell="A9" zoomScale="130" zoomScaleNormal="130" workbookViewId="0">
      <selection activeCell="B6" sqref="B6"/>
    </sheetView>
  </sheetViews>
  <sheetFormatPr baseColWidth="10" defaultRowHeight="15" x14ac:dyDescent="0.25"/>
  <cols>
    <col min="2" max="2" width="23.7109375" customWidth="1"/>
    <col min="3" max="3" width="9.42578125" customWidth="1"/>
    <col min="4" max="4" width="12.7109375" customWidth="1"/>
    <col min="5" max="5" width="13.140625" customWidth="1"/>
    <col min="6" max="6" width="13.5703125" customWidth="1"/>
    <col min="7" max="7" width="12.140625" customWidth="1"/>
    <col min="8" max="8" width="10.5703125" customWidth="1"/>
    <col min="9" max="9" width="12" customWidth="1"/>
    <col min="10" max="10" width="20.140625" customWidth="1"/>
    <col min="11" max="11" width="10.42578125" customWidth="1"/>
    <col min="12" max="12" width="16.140625" customWidth="1"/>
    <col min="13" max="13" width="13.140625" customWidth="1"/>
    <col min="14" max="14" width="13.85546875" customWidth="1"/>
  </cols>
  <sheetData>
    <row r="1" spans="1:13" ht="22.5" customHeight="1" x14ac:dyDescent="0.25">
      <c r="A1" s="74" t="s">
        <v>80</v>
      </c>
      <c r="B1" s="74"/>
      <c r="C1" s="74"/>
      <c r="D1" s="74"/>
      <c r="E1" s="74"/>
      <c r="F1" s="74"/>
      <c r="G1" s="74"/>
      <c r="H1" s="25"/>
      <c r="I1" s="24"/>
      <c r="J1" s="75"/>
      <c r="K1" s="75"/>
      <c r="L1" s="75"/>
      <c r="M1" s="24"/>
    </row>
    <row r="2" spans="1:13" x14ac:dyDescent="0.25">
      <c r="A2" s="46" t="s">
        <v>24</v>
      </c>
      <c r="B2" s="46" t="s">
        <v>23</v>
      </c>
      <c r="C2" s="46" t="s">
        <v>44</v>
      </c>
      <c r="D2" s="46" t="s">
        <v>32</v>
      </c>
      <c r="E2" s="46" t="s">
        <v>31</v>
      </c>
      <c r="F2" s="46" t="s">
        <v>29</v>
      </c>
      <c r="G2" s="46" t="s">
        <v>30</v>
      </c>
      <c r="H2" s="25"/>
      <c r="I2" s="25"/>
      <c r="J2" s="25"/>
      <c r="K2" s="25"/>
      <c r="L2" s="25"/>
      <c r="M2" s="25"/>
    </row>
    <row r="3" spans="1:13" x14ac:dyDescent="0.25">
      <c r="A3" s="47">
        <v>46175</v>
      </c>
      <c r="B3" s="48" t="s">
        <v>78</v>
      </c>
      <c r="C3" s="46">
        <v>2447</v>
      </c>
      <c r="D3" s="46" t="s">
        <v>87</v>
      </c>
      <c r="E3" s="49">
        <v>4615000</v>
      </c>
      <c r="F3" s="49">
        <v>4615000</v>
      </c>
      <c r="G3" s="49">
        <f t="shared" ref="G3:G10" si="0">E3-F3</f>
        <v>0</v>
      </c>
      <c r="H3" s="25"/>
      <c r="I3" s="25"/>
      <c r="J3" s="25"/>
      <c r="K3" s="25"/>
      <c r="L3" s="25"/>
      <c r="M3" s="25"/>
    </row>
    <row r="4" spans="1:13" x14ac:dyDescent="0.25">
      <c r="A4" s="47">
        <v>46177</v>
      </c>
      <c r="B4" s="69" t="s">
        <v>81</v>
      </c>
      <c r="C4" s="46">
        <v>2429</v>
      </c>
      <c r="D4" s="46" t="s">
        <v>36</v>
      </c>
      <c r="E4" s="49">
        <v>1640100</v>
      </c>
      <c r="F4" s="49">
        <v>1640100</v>
      </c>
      <c r="G4" s="49">
        <f t="shared" si="0"/>
        <v>0</v>
      </c>
      <c r="H4" s="25"/>
      <c r="I4" s="25"/>
      <c r="J4" s="25"/>
      <c r="K4" s="25"/>
      <c r="L4" s="25"/>
      <c r="M4" s="25"/>
    </row>
    <row r="5" spans="1:13" x14ac:dyDescent="0.25">
      <c r="A5" s="47">
        <v>46184</v>
      </c>
      <c r="B5" s="69" t="s">
        <v>77</v>
      </c>
      <c r="C5" s="46">
        <v>2431</v>
      </c>
      <c r="D5" s="46" t="s">
        <v>82</v>
      </c>
      <c r="E5" s="49">
        <v>1200000</v>
      </c>
      <c r="F5" s="49">
        <v>1200000</v>
      </c>
      <c r="G5" s="49">
        <f t="shared" si="0"/>
        <v>0</v>
      </c>
      <c r="H5" s="25"/>
      <c r="I5" s="25"/>
      <c r="J5" s="25"/>
      <c r="K5" s="25"/>
      <c r="L5" s="25"/>
      <c r="M5" s="25"/>
    </row>
    <row r="6" spans="1:13" x14ac:dyDescent="0.25">
      <c r="A6" s="47">
        <v>46184</v>
      </c>
      <c r="B6" s="69" t="s">
        <v>83</v>
      </c>
      <c r="C6" s="46">
        <v>2430</v>
      </c>
      <c r="D6" s="46" t="s">
        <v>89</v>
      </c>
      <c r="E6" s="49">
        <v>4782800</v>
      </c>
      <c r="F6" s="86">
        <v>350000</v>
      </c>
      <c r="G6" s="49">
        <f t="shared" si="0"/>
        <v>4432800</v>
      </c>
      <c r="H6" s="25"/>
      <c r="I6" s="25"/>
      <c r="J6" s="25"/>
      <c r="K6" s="25"/>
      <c r="L6" s="25"/>
      <c r="M6" s="25"/>
    </row>
    <row r="7" spans="1:13" x14ac:dyDescent="0.25">
      <c r="A7" s="47">
        <v>46185</v>
      </c>
      <c r="B7" s="69" t="s">
        <v>84</v>
      </c>
      <c r="C7" s="46">
        <v>2432</v>
      </c>
      <c r="D7" s="46" t="s">
        <v>90</v>
      </c>
      <c r="E7" s="49">
        <v>4782000</v>
      </c>
      <c r="F7" s="86">
        <v>1000000</v>
      </c>
      <c r="G7" s="49">
        <f t="shared" si="0"/>
        <v>3782000</v>
      </c>
      <c r="H7" s="25"/>
      <c r="I7" s="25"/>
      <c r="J7" s="25"/>
      <c r="K7" s="25"/>
      <c r="L7" s="25"/>
      <c r="M7" s="25"/>
    </row>
    <row r="8" spans="1:13" x14ac:dyDescent="0.25">
      <c r="A8" s="47">
        <v>46192</v>
      </c>
      <c r="B8" s="69" t="s">
        <v>85</v>
      </c>
      <c r="C8" s="46">
        <v>2434</v>
      </c>
      <c r="D8" s="46" t="s">
        <v>90</v>
      </c>
      <c r="E8" s="49">
        <v>2457700</v>
      </c>
      <c r="F8" s="86">
        <v>254000</v>
      </c>
      <c r="G8" s="49">
        <f t="shared" si="0"/>
        <v>2203700</v>
      </c>
      <c r="H8" s="25"/>
      <c r="I8" s="25"/>
      <c r="J8" s="25"/>
      <c r="K8" s="25"/>
      <c r="L8" s="25"/>
      <c r="M8" s="25"/>
    </row>
    <row r="9" spans="1:13" x14ac:dyDescent="0.25">
      <c r="A9" s="47">
        <v>46196</v>
      </c>
      <c r="B9" s="69" t="s">
        <v>79</v>
      </c>
      <c r="C9" s="46">
        <v>2433</v>
      </c>
      <c r="D9" s="46" t="s">
        <v>90</v>
      </c>
      <c r="E9" s="49">
        <v>4782000</v>
      </c>
      <c r="F9" s="86">
        <v>4744024</v>
      </c>
      <c r="G9" s="49">
        <f t="shared" si="0"/>
        <v>37976</v>
      </c>
      <c r="H9" s="25"/>
      <c r="I9" s="25"/>
      <c r="J9" s="25"/>
      <c r="K9" s="25"/>
      <c r="L9" s="25"/>
      <c r="M9" s="25"/>
    </row>
    <row r="10" spans="1:13" x14ac:dyDescent="0.25">
      <c r="A10" s="47">
        <v>46196</v>
      </c>
      <c r="B10" s="69" t="s">
        <v>86</v>
      </c>
      <c r="C10" s="46">
        <v>2436</v>
      </c>
      <c r="D10" s="46" t="s">
        <v>88</v>
      </c>
      <c r="E10" s="49">
        <v>5900000</v>
      </c>
      <c r="F10" s="86">
        <v>747930</v>
      </c>
      <c r="G10" s="49">
        <f t="shared" si="0"/>
        <v>5152070</v>
      </c>
      <c r="H10" s="25"/>
      <c r="I10" s="25"/>
      <c r="J10" s="25"/>
      <c r="K10" s="25"/>
      <c r="L10" s="25"/>
      <c r="M10" s="25"/>
    </row>
    <row r="11" spans="1:13" x14ac:dyDescent="0.25">
      <c r="C11" s="78" t="s">
        <v>91</v>
      </c>
      <c r="D11" s="78"/>
      <c r="E11" s="56">
        <f>SUM(E3:E10)</f>
        <v>30159600</v>
      </c>
      <c r="F11" s="56">
        <f>SUM(F3:F10)</f>
        <v>14551054</v>
      </c>
      <c r="G11" s="56">
        <f>SUM(G3:G10)</f>
        <v>15608546</v>
      </c>
      <c r="H11" s="25"/>
      <c r="I11" s="25"/>
      <c r="J11" s="25"/>
      <c r="K11" s="25"/>
      <c r="L11" s="25"/>
      <c r="M11" s="25"/>
    </row>
    <row r="12" spans="1:13" x14ac:dyDescent="0.25">
      <c r="C12" s="46"/>
      <c r="D12" s="46"/>
      <c r="E12" s="49"/>
      <c r="F12" s="49"/>
      <c r="G12" s="49"/>
      <c r="H12" s="25"/>
      <c r="I12" s="25"/>
      <c r="J12" s="25"/>
      <c r="K12" s="25"/>
      <c r="L12" s="25"/>
      <c r="M12" s="25"/>
    </row>
    <row r="13" spans="1:13" x14ac:dyDescent="0.25">
      <c r="A13" s="79" t="s">
        <v>94</v>
      </c>
      <c r="B13" s="79"/>
      <c r="C13" s="46" t="s">
        <v>44</v>
      </c>
      <c r="D13" s="46" t="s">
        <v>32</v>
      </c>
      <c r="E13" s="46" t="s">
        <v>31</v>
      </c>
      <c r="F13" s="46" t="s">
        <v>29</v>
      </c>
      <c r="G13" s="46" t="s">
        <v>30</v>
      </c>
      <c r="H13" s="25"/>
      <c r="I13" s="25"/>
      <c r="J13" s="25"/>
      <c r="K13" s="25"/>
      <c r="L13" s="25"/>
      <c r="M13" s="25"/>
    </row>
    <row r="14" spans="1:13" x14ac:dyDescent="0.25">
      <c r="A14" s="47">
        <v>46147</v>
      </c>
      <c r="B14" s="69" t="s">
        <v>63</v>
      </c>
      <c r="C14" s="46">
        <v>2423</v>
      </c>
      <c r="D14" s="70" t="s">
        <v>68</v>
      </c>
      <c r="E14" s="49">
        <v>200000</v>
      </c>
      <c r="F14" s="49">
        <v>200000</v>
      </c>
      <c r="G14" s="49">
        <f>E14-F14</f>
        <v>0</v>
      </c>
      <c r="H14" s="25"/>
      <c r="I14" s="25"/>
      <c r="J14" s="25"/>
      <c r="K14" s="25"/>
      <c r="L14" s="25"/>
      <c r="M14" s="25"/>
    </row>
    <row r="15" spans="1:13" x14ac:dyDescent="0.25">
      <c r="A15" s="47">
        <v>46169</v>
      </c>
      <c r="B15" s="69" t="s">
        <v>66</v>
      </c>
      <c r="C15" s="46">
        <v>2426</v>
      </c>
      <c r="D15" s="70" t="s">
        <v>70</v>
      </c>
      <c r="E15" s="49">
        <v>4282800</v>
      </c>
      <c r="F15" s="49">
        <v>500000</v>
      </c>
      <c r="G15" s="49">
        <f>E15-F15</f>
        <v>3782800</v>
      </c>
      <c r="H15" s="25"/>
      <c r="I15" s="25"/>
      <c r="J15" s="25"/>
      <c r="K15" s="25"/>
      <c r="L15" s="25"/>
      <c r="M15" s="25"/>
    </row>
    <row r="16" spans="1:13" x14ac:dyDescent="0.25">
      <c r="A16" s="47"/>
      <c r="B16" s="69"/>
      <c r="C16" s="78" t="s">
        <v>91</v>
      </c>
      <c r="D16" s="78"/>
      <c r="E16" s="56">
        <f>SUM(E14:E15)</f>
        <v>4482800</v>
      </c>
      <c r="F16" s="56">
        <f>SUM(F14:F15)</f>
        <v>700000</v>
      </c>
      <c r="G16" s="56">
        <f>SUM(G14:G15)</f>
        <v>3782800</v>
      </c>
      <c r="H16" s="25"/>
      <c r="I16" s="25"/>
      <c r="J16" s="25"/>
      <c r="K16" s="25"/>
      <c r="L16" s="25"/>
      <c r="M16" s="25"/>
    </row>
    <row r="17" spans="1:14" x14ac:dyDescent="0.25">
      <c r="A17" s="47"/>
      <c r="B17" s="69"/>
      <c r="C17" s="46"/>
      <c r="D17" s="46"/>
      <c r="E17" s="49"/>
      <c r="F17" s="49"/>
      <c r="G17" s="49"/>
      <c r="H17" s="25"/>
      <c r="I17" s="25"/>
      <c r="J17" s="25"/>
      <c r="K17" s="25"/>
      <c r="L17" s="25"/>
      <c r="M17" s="25"/>
    </row>
    <row r="18" spans="1:14" x14ac:dyDescent="0.25">
      <c r="A18" s="47"/>
      <c r="B18" s="69"/>
      <c r="C18" s="78" t="s">
        <v>92</v>
      </c>
      <c r="D18" s="78"/>
      <c r="E18" s="56">
        <f>E11+E16</f>
        <v>34642400</v>
      </c>
      <c r="F18" s="56">
        <f>F11+F16</f>
        <v>15251054</v>
      </c>
      <c r="G18" s="56">
        <f>G11+G16</f>
        <v>19391346</v>
      </c>
      <c r="H18" s="25"/>
      <c r="I18" s="25"/>
      <c r="J18" s="25"/>
      <c r="K18" s="25"/>
      <c r="L18" s="25"/>
      <c r="M18" s="25"/>
    </row>
    <row r="19" spans="1:14" x14ac:dyDescent="0.25">
      <c r="A19" s="26"/>
      <c r="B19" s="24"/>
      <c r="C19" s="25"/>
      <c r="D19" s="25"/>
      <c r="E19" s="73"/>
      <c r="F19" s="28"/>
      <c r="G19" s="33"/>
      <c r="J19" s="29"/>
      <c r="K19" s="25"/>
      <c r="L19" s="34"/>
      <c r="M19" s="25"/>
      <c r="N19" s="14"/>
    </row>
    <row r="20" spans="1:14" x14ac:dyDescent="0.25">
      <c r="A20" s="26"/>
      <c r="B20" s="28" t="s">
        <v>47</v>
      </c>
      <c r="C20" s="35"/>
      <c r="D20" s="25"/>
      <c r="E20" s="25"/>
      <c r="J20" s="29"/>
      <c r="K20" s="25"/>
      <c r="L20" s="34"/>
      <c r="M20" s="25"/>
      <c r="N20" s="14"/>
    </row>
    <row r="21" spans="1:14" x14ac:dyDescent="0.25">
      <c r="A21" s="26"/>
      <c r="B21" s="58" t="s">
        <v>73</v>
      </c>
      <c r="C21" s="60"/>
      <c r="D21" s="76" t="s">
        <v>93</v>
      </c>
      <c r="E21" s="76"/>
      <c r="F21" s="2">
        <v>15251054</v>
      </c>
      <c r="J21" s="29"/>
      <c r="K21" s="25"/>
      <c r="L21" s="30"/>
      <c r="M21" s="25"/>
      <c r="N21" s="14"/>
    </row>
    <row r="22" spans="1:14" x14ac:dyDescent="0.25">
      <c r="A22" s="26"/>
      <c r="B22" s="58" t="s">
        <v>72</v>
      </c>
      <c r="C22" s="61"/>
      <c r="D22" s="77" t="s">
        <v>75</v>
      </c>
      <c r="E22" s="77"/>
      <c r="F22" s="12">
        <f>F21*5%</f>
        <v>762552.70000000007</v>
      </c>
      <c r="J22" s="29"/>
      <c r="K22" s="25"/>
      <c r="L22" s="30"/>
      <c r="M22" s="25"/>
      <c r="N22" s="14"/>
    </row>
    <row r="23" spans="1:14" x14ac:dyDescent="0.25">
      <c r="A23" s="26"/>
      <c r="B23" s="39"/>
      <c r="C23" s="25"/>
      <c r="D23" s="30"/>
      <c r="E23" s="28"/>
      <c r="F23" s="28"/>
      <c r="G23" s="28"/>
      <c r="J23" s="31"/>
      <c r="K23" s="32"/>
      <c r="L23" s="30"/>
      <c r="M23" s="25"/>
      <c r="N23" s="14"/>
    </row>
    <row r="24" spans="1:14" x14ac:dyDescent="0.25">
      <c r="A24" s="26"/>
      <c r="B24" s="24"/>
      <c r="C24" s="25"/>
      <c r="D24" s="25"/>
      <c r="E24" s="25"/>
      <c r="F24" s="28"/>
      <c r="G24" s="33"/>
      <c r="H24" s="25"/>
      <c r="J24" s="25"/>
      <c r="K24" s="24"/>
      <c r="L24" s="28"/>
      <c r="N24" s="14"/>
    </row>
    <row r="25" spans="1:14" x14ac:dyDescent="0.25">
      <c r="A25" s="26"/>
      <c r="B25" s="24"/>
      <c r="C25" s="25"/>
      <c r="D25" s="25"/>
      <c r="E25" s="25"/>
      <c r="F25" s="28"/>
      <c r="G25" s="33"/>
      <c r="H25" s="25"/>
      <c r="I25" s="26"/>
      <c r="J25" s="29"/>
      <c r="K25" s="25"/>
      <c r="L25" s="30"/>
      <c r="M25" s="25"/>
      <c r="N25" s="14"/>
    </row>
    <row r="26" spans="1:14" x14ac:dyDescent="0.25">
      <c r="A26" s="26"/>
      <c r="B26" s="24"/>
      <c r="C26" s="25"/>
      <c r="D26" s="25"/>
      <c r="E26" s="25"/>
      <c r="F26" s="33"/>
      <c r="G26" s="33"/>
      <c r="H26" s="25"/>
      <c r="I26" s="26"/>
      <c r="J26" s="29"/>
      <c r="K26" s="24"/>
      <c r="L26" s="34"/>
      <c r="M26" s="35"/>
      <c r="N26" s="14"/>
    </row>
    <row r="27" spans="1:14" x14ac:dyDescent="0.25">
      <c r="A27" s="26"/>
      <c r="B27" s="24"/>
      <c r="C27" s="25"/>
      <c r="D27" s="25"/>
      <c r="E27" s="25"/>
      <c r="F27" s="33"/>
      <c r="G27" s="33"/>
      <c r="H27" s="25"/>
      <c r="K27" s="24"/>
      <c r="L27" s="34"/>
      <c r="M27" s="35"/>
      <c r="N27" s="14"/>
    </row>
    <row r="28" spans="1:14" x14ac:dyDescent="0.25">
      <c r="A28" s="26"/>
      <c r="B28" s="24"/>
      <c r="C28" s="25"/>
      <c r="D28" s="25"/>
      <c r="E28" s="25"/>
      <c r="F28" s="33"/>
      <c r="G28" s="33"/>
      <c r="H28" s="25"/>
      <c r="K28" s="38"/>
      <c r="L28" s="34"/>
      <c r="M28" s="24"/>
      <c r="N28" s="14"/>
    </row>
    <row r="29" spans="1:14" x14ac:dyDescent="0.25">
      <c r="A29" s="26"/>
      <c r="B29" s="24"/>
      <c r="C29" s="25"/>
      <c r="D29" s="25"/>
      <c r="E29" s="25"/>
      <c r="F29" s="33"/>
      <c r="G29" s="33"/>
      <c r="H29" s="25"/>
      <c r="K29" s="38"/>
      <c r="L29" s="34"/>
      <c r="M29" s="35"/>
      <c r="N29" s="14"/>
    </row>
    <row r="30" spans="1:14" x14ac:dyDescent="0.25">
      <c r="F30" s="14"/>
      <c r="G30" s="14"/>
      <c r="H30" s="25"/>
      <c r="L30" s="14"/>
      <c r="M30" s="14"/>
      <c r="N30" s="14"/>
    </row>
    <row r="31" spans="1:14" x14ac:dyDescent="0.25">
      <c r="H31" s="25"/>
      <c r="L31" s="14"/>
      <c r="N31" s="14"/>
    </row>
    <row r="32" spans="1:14" x14ac:dyDescent="0.25">
      <c r="H32" s="25"/>
      <c r="L32" s="14"/>
      <c r="N32" s="14"/>
    </row>
    <row r="33" spans="1:14" ht="18.75" x14ac:dyDescent="0.3">
      <c r="H33" s="17"/>
      <c r="L33" s="14"/>
      <c r="N33" s="14"/>
    </row>
    <row r="34" spans="1:14" ht="18.75" x14ac:dyDescent="0.3">
      <c r="H34" s="17"/>
      <c r="L34" s="14"/>
      <c r="N34" s="14"/>
    </row>
    <row r="35" spans="1:14" ht="18.75" x14ac:dyDescent="0.3">
      <c r="A35" s="20"/>
      <c r="H35" s="17"/>
      <c r="J35" s="18"/>
      <c r="K35" s="17"/>
      <c r="L35" s="23"/>
      <c r="N35" s="14"/>
    </row>
    <row r="36" spans="1:14" ht="18.75" x14ac:dyDescent="0.3">
      <c r="A36" s="20"/>
      <c r="B36" s="18"/>
      <c r="C36" s="17"/>
      <c r="D36" s="17"/>
      <c r="E36" s="17"/>
      <c r="F36" s="23"/>
      <c r="G36" s="23"/>
      <c r="H36" s="17"/>
      <c r="J36" s="18"/>
      <c r="K36" s="17"/>
      <c r="L36" s="23"/>
      <c r="N36" s="14"/>
    </row>
    <row r="37" spans="1:14" x14ac:dyDescent="0.25">
      <c r="B37" s="2"/>
      <c r="C37" s="2"/>
      <c r="D37" s="2"/>
      <c r="E37" s="2"/>
      <c r="F37" s="2"/>
      <c r="G37" s="2"/>
      <c r="H37" s="2"/>
      <c r="J37" s="16"/>
      <c r="K37" s="15"/>
      <c r="L37" s="13"/>
    </row>
    <row r="38" spans="1:14" x14ac:dyDescent="0.25">
      <c r="B38" s="16"/>
      <c r="C38" s="16"/>
      <c r="D38" s="16"/>
      <c r="E38" s="16"/>
      <c r="F38" s="13"/>
      <c r="G38" s="13"/>
      <c r="H38" s="13"/>
      <c r="J38" s="16"/>
      <c r="K38" s="15"/>
      <c r="L38" s="13"/>
    </row>
    <row r="39" spans="1:14" x14ac:dyDescent="0.25">
      <c r="B39" s="16"/>
      <c r="C39" s="16"/>
      <c r="D39" s="16"/>
      <c r="E39" s="16"/>
      <c r="F39" s="13"/>
      <c r="G39" s="13"/>
      <c r="H39" s="13"/>
      <c r="J39" s="16"/>
      <c r="K39" s="15"/>
      <c r="L39" s="13"/>
    </row>
    <row r="40" spans="1:14" x14ac:dyDescent="0.25">
      <c r="B40" s="16"/>
      <c r="C40" s="16"/>
      <c r="D40" s="16"/>
      <c r="E40" s="16"/>
      <c r="F40" s="13"/>
      <c r="G40" s="13"/>
      <c r="H40" s="13"/>
      <c r="J40" s="16"/>
      <c r="K40" s="15"/>
      <c r="L40" s="13"/>
    </row>
    <row r="41" spans="1:14" x14ac:dyDescent="0.25">
      <c r="B41" s="16"/>
      <c r="C41" s="16"/>
      <c r="D41" s="16"/>
      <c r="E41" s="16"/>
      <c r="F41" s="13"/>
      <c r="G41" s="13"/>
      <c r="H41" s="13"/>
      <c r="J41" s="16"/>
      <c r="K41" s="15"/>
      <c r="L41" s="13"/>
    </row>
    <row r="42" spans="1:14" x14ac:dyDescent="0.25">
      <c r="B42" s="16"/>
      <c r="C42" s="16"/>
      <c r="D42" s="16"/>
      <c r="E42" s="16"/>
      <c r="F42" s="13"/>
      <c r="G42" s="13"/>
      <c r="H42" s="13"/>
      <c r="J42" s="16"/>
      <c r="K42" s="15"/>
      <c r="L42" s="13"/>
    </row>
    <row r="43" spans="1:14" x14ac:dyDescent="0.25">
      <c r="B43" s="16"/>
      <c r="C43" s="16"/>
      <c r="D43" s="16"/>
      <c r="E43" s="16"/>
      <c r="F43" s="13"/>
      <c r="G43" s="13"/>
      <c r="H43" s="13"/>
      <c r="J43" s="21"/>
      <c r="K43" s="21"/>
      <c r="L43" s="22"/>
    </row>
    <row r="44" spans="1:14" x14ac:dyDescent="0.25">
      <c r="B44" s="19"/>
      <c r="C44" s="19"/>
      <c r="D44" s="19"/>
      <c r="E44" s="19"/>
      <c r="F44" s="19"/>
      <c r="G44" s="19"/>
      <c r="H44" s="19"/>
    </row>
    <row r="45" spans="1:14" x14ac:dyDescent="0.25">
      <c r="B45" s="2"/>
      <c r="C45" s="2"/>
      <c r="D45" s="2"/>
      <c r="E45" s="2"/>
      <c r="F45" s="2"/>
      <c r="G45" s="2"/>
      <c r="H45" s="2"/>
    </row>
    <row r="46" spans="1:14" x14ac:dyDescent="0.25">
      <c r="B46" s="2"/>
      <c r="C46" s="2"/>
      <c r="D46" s="2"/>
      <c r="E46" s="2"/>
      <c r="F46" s="2"/>
      <c r="G46" s="2"/>
      <c r="H46" s="2"/>
    </row>
  </sheetData>
  <mergeCells count="8">
    <mergeCell ref="A1:G1"/>
    <mergeCell ref="J1:L1"/>
    <mergeCell ref="D21:E21"/>
    <mergeCell ref="D22:E22"/>
    <mergeCell ref="C11:D11"/>
    <mergeCell ref="C16:D16"/>
    <mergeCell ref="A13:B13"/>
    <mergeCell ref="C18:D18"/>
  </mergeCells>
  <pageMargins left="0.70866141732283472" right="0.70866141732283472" top="0.74803149606299213" bottom="0.74803149606299213" header="0.31496062992125984" footer="0.31496062992125984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FEBR 2024 </vt:lpstr>
      <vt:lpstr>COMISIONES ABRIL ASESORAS</vt:lpstr>
      <vt:lpstr>COMISIONES MAYO ASESORAS</vt:lpstr>
      <vt:lpstr>COMISIONES JUNIO ASESORAS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Jackeline Álvarez Padilla</dc:creator>
  <cp:lastModifiedBy>Jackeline Padilla</cp:lastModifiedBy>
  <cp:lastPrinted>2025-10-21T20:25:23Z</cp:lastPrinted>
  <dcterms:created xsi:type="dcterms:W3CDTF">2023-12-01T13:24:33Z</dcterms:created>
  <dcterms:modified xsi:type="dcterms:W3CDTF">2026-07-07T20:19:25Z</dcterms:modified>
</cp:coreProperties>
</file>