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OS" sheetId="1" state="visible" r:id="rId1"/>
    <sheet xmlns:r="http://schemas.openxmlformats.org/officeDocument/2006/relationships" name="REGLAS ML" sheetId="2" state="visible" r:id="rId2"/>
    <sheet xmlns:r="http://schemas.openxmlformats.org/officeDocument/2006/relationships" name="COMO SE US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E54C09"/>
      <sz val="12"/>
    </font>
  </fonts>
  <fills count="3">
    <fill>
      <patternFill/>
    </fill>
    <fill>
      <patternFill patternType="gray125"/>
    </fill>
    <fill>
      <patternFill patternType="solid">
        <fgColor rgb="00E54C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4" customWidth="1" min="3" max="3"/>
    <col width="13" customWidth="1" min="4" max="4"/>
    <col width="12" customWidth="1" min="5" max="5"/>
    <col width="15" customWidth="1" min="6" max="6"/>
    <col width="11" customWidth="1" min="7" max="7"/>
    <col width="14" customWidth="1" min="8" max="8"/>
    <col width="14" customWidth="1" min="9" max="9"/>
    <col width="13" customWidth="1" min="10" max="10"/>
    <col width="14" customWidth="1" min="11" max="11"/>
    <col width="10" customWidth="1" min="12" max="12"/>
    <col width="13" customWidth="1" min="13" max="13"/>
    <col width="20" customWidth="1" min="14" max="14"/>
    <col width="24" customWidth="1" min="15" max="15"/>
  </cols>
  <sheetData>
    <row r="1">
      <c r="A1" s="1" t="inlineStr">
        <is>
          <t>Producto</t>
        </is>
      </c>
      <c r="B1" s="1" t="inlineStr">
        <is>
          <t>Link ML del lider</t>
        </is>
      </c>
      <c r="C1" s="1" t="inlineStr">
        <is>
          <t>Precio venta ML (lider)</t>
        </is>
      </c>
      <c r="D1" s="1" t="inlineStr">
        <is>
          <t>Vendidos visibles (+N)</t>
        </is>
      </c>
      <c r="E1" s="1" t="inlineStr">
        <is>
          <t># vendedores fuertes</t>
        </is>
      </c>
      <c r="F1" s="1" t="inlineStr">
        <is>
          <t>Costo cotizado (proveedor)</t>
        </is>
      </c>
      <c r="G1" s="1" t="inlineStr">
        <is>
          <t>% comision ML</t>
        </is>
      </c>
      <c r="H1" s="1" t="inlineStr">
        <is>
          <t>Costo envio a cargo vendedor</t>
        </is>
      </c>
      <c r="I1" s="1" t="inlineStr">
        <is>
          <t>Otros costos/unidad (empaque, 4x1000)</t>
        </is>
      </c>
      <c r="J1" s="1" t="inlineStr">
        <is>
          <t>Comision ML $</t>
        </is>
      </c>
      <c r="K1" s="1" t="inlineStr">
        <is>
          <t>MARGEN NETO $</t>
        </is>
      </c>
      <c r="L1" s="1" t="inlineStr">
        <is>
          <t>MARGEN %</t>
        </is>
      </c>
      <c r="M1" s="1" t="inlineStr">
        <is>
          <t>VEREDICTO</t>
        </is>
      </c>
      <c r="N1" s="1" t="inlineStr">
        <is>
          <t>Proveedor / contacto</t>
        </is>
      </c>
      <c r="O1" s="1" t="inlineStr">
        <is>
          <t>Notas</t>
        </is>
      </c>
    </row>
    <row r="2">
      <c r="A2" t="inlineStr">
        <is>
          <t>&gt;&gt; Ejemplo (borrar): cepillo secador 5 en 1</t>
        </is>
      </c>
      <c r="C2" s="2" t="n">
        <v>95000</v>
      </c>
      <c r="D2" t="n">
        <v>500</v>
      </c>
      <c r="E2" t="n">
        <v>3</v>
      </c>
      <c r="F2" s="2" t="n">
        <v>48000</v>
      </c>
      <c r="G2" s="3" t="n">
        <v>0.16</v>
      </c>
      <c r="H2" s="2" t="n">
        <v>6000</v>
      </c>
      <c r="I2" s="2" t="n">
        <v>1500</v>
      </c>
      <c r="J2" s="2">
        <f>IF(C2="","",C2*G2)</f>
        <v/>
      </c>
      <c r="K2" s="2">
        <f>IF(C2="","",C2-F2-J2-H2-I2)</f>
        <v/>
      </c>
      <c r="L2" s="3">
        <f>IF(C2="","",K2/C2)</f>
        <v/>
      </c>
      <c r="M2">
        <f>IF(C2="","",IF(AND(L2&gt;=0.2,D2&gt;=100),"GO",IF(L2&gt;=0.2,"GO (validar demanda)",IF(L2&gt;=0.12,"AJUSTAR COSTO","NO GO"))))</f>
        <v/>
      </c>
    </row>
    <row r="3">
      <c r="C3" s="2" t="n"/>
      <c r="F3" s="2" t="n"/>
      <c r="G3" s="3" t="n"/>
      <c r="H3" s="2" t="n"/>
      <c r="I3" s="2" t="n"/>
      <c r="J3" s="2">
        <f>IF(C3="","",C3*G3)</f>
        <v/>
      </c>
      <c r="K3" s="2">
        <f>IF(C3="","",C3-F3-J3-H3-I3)</f>
        <v/>
      </c>
      <c r="L3" s="3">
        <f>IF(C3="","",K3/C3)</f>
        <v/>
      </c>
      <c r="M3">
        <f>IF(C3="","",IF(AND(L3&gt;=0.2,D3&gt;=100),"GO",IF(L3&gt;=0.2,"GO (validar demanda)",IF(L3&gt;=0.12,"AJUSTAR COSTO","NO GO"))))</f>
        <v/>
      </c>
    </row>
    <row r="4">
      <c r="C4" s="2" t="n"/>
      <c r="F4" s="2" t="n"/>
      <c r="G4" s="3" t="n"/>
      <c r="H4" s="2" t="n"/>
      <c r="I4" s="2" t="n"/>
      <c r="J4" s="2">
        <f>IF(C4="","",C4*G4)</f>
        <v/>
      </c>
      <c r="K4" s="2">
        <f>IF(C4="","",C4-F4-J4-H4-I4)</f>
        <v/>
      </c>
      <c r="L4" s="3">
        <f>IF(C4="","",K4/C4)</f>
        <v/>
      </c>
      <c r="M4">
        <f>IF(C4="","",IF(AND(L4&gt;=0.2,D4&gt;=100),"GO",IF(L4&gt;=0.2,"GO (validar demanda)",IF(L4&gt;=0.12,"AJUSTAR COSTO","NO GO"))))</f>
        <v/>
      </c>
    </row>
    <row r="5">
      <c r="C5" s="2" t="n"/>
      <c r="F5" s="2" t="n"/>
      <c r="G5" s="3" t="n"/>
      <c r="H5" s="2" t="n"/>
      <c r="I5" s="2" t="n"/>
      <c r="J5" s="2">
        <f>IF(C5="","",C5*G5)</f>
        <v/>
      </c>
      <c r="K5" s="2">
        <f>IF(C5="","",C5-F5-J5-H5-I5)</f>
        <v/>
      </c>
      <c r="L5" s="3">
        <f>IF(C5="","",K5/C5)</f>
        <v/>
      </c>
      <c r="M5">
        <f>IF(C5="","",IF(AND(L5&gt;=0.2,D5&gt;=100),"GO",IF(L5&gt;=0.2,"GO (validar demanda)",IF(L5&gt;=0.12,"AJUSTAR COSTO","NO GO"))))</f>
        <v/>
      </c>
    </row>
    <row r="6">
      <c r="C6" s="2" t="n"/>
      <c r="F6" s="2" t="n"/>
      <c r="G6" s="3" t="n"/>
      <c r="H6" s="2" t="n"/>
      <c r="I6" s="2" t="n"/>
      <c r="J6" s="2">
        <f>IF(C6="","",C6*G6)</f>
        <v/>
      </c>
      <c r="K6" s="2">
        <f>IF(C6="","",C6-F6-J6-H6-I6)</f>
        <v/>
      </c>
      <c r="L6" s="3">
        <f>IF(C6="","",K6/C6)</f>
        <v/>
      </c>
      <c r="M6">
        <f>IF(C6="","",IF(AND(L6&gt;=0.2,D6&gt;=100),"GO",IF(L6&gt;=0.2,"GO (validar demanda)",IF(L6&gt;=0.12,"AJUSTAR COSTO","NO GO"))))</f>
        <v/>
      </c>
    </row>
    <row r="7">
      <c r="C7" s="2" t="n"/>
      <c r="F7" s="2" t="n"/>
      <c r="G7" s="3" t="n"/>
      <c r="H7" s="2" t="n"/>
      <c r="I7" s="2" t="n"/>
      <c r="J7" s="2">
        <f>IF(C7="","",C7*G7)</f>
        <v/>
      </c>
      <c r="K7" s="2">
        <f>IF(C7="","",C7-F7-J7-H7-I7)</f>
        <v/>
      </c>
      <c r="L7" s="3">
        <f>IF(C7="","",K7/C7)</f>
        <v/>
      </c>
      <c r="M7">
        <f>IF(C7="","",IF(AND(L7&gt;=0.2,D7&gt;=100),"GO",IF(L7&gt;=0.2,"GO (validar demanda)",IF(L7&gt;=0.12,"AJUSTAR COSTO","NO GO"))))</f>
        <v/>
      </c>
    </row>
    <row r="8">
      <c r="C8" s="2" t="n"/>
      <c r="F8" s="2" t="n"/>
      <c r="G8" s="3" t="n"/>
      <c r="H8" s="2" t="n"/>
      <c r="I8" s="2" t="n"/>
      <c r="J8" s="2">
        <f>IF(C8="","",C8*G8)</f>
        <v/>
      </c>
      <c r="K8" s="2">
        <f>IF(C8="","",C8-F8-J8-H8-I8)</f>
        <v/>
      </c>
      <c r="L8" s="3">
        <f>IF(C8="","",K8/C8)</f>
        <v/>
      </c>
      <c r="M8">
        <f>IF(C8="","",IF(AND(L8&gt;=0.2,D8&gt;=100),"GO",IF(L8&gt;=0.2,"GO (validar demanda)",IF(L8&gt;=0.12,"AJUSTAR COSTO","NO GO"))))</f>
        <v/>
      </c>
    </row>
    <row r="9">
      <c r="C9" s="2" t="n"/>
      <c r="F9" s="2" t="n"/>
      <c r="G9" s="3" t="n"/>
      <c r="H9" s="2" t="n"/>
      <c r="I9" s="2" t="n"/>
      <c r="J9" s="2">
        <f>IF(C9="","",C9*G9)</f>
        <v/>
      </c>
      <c r="K9" s="2">
        <f>IF(C9="","",C9-F9-J9-H9-I9)</f>
        <v/>
      </c>
      <c r="L9" s="3">
        <f>IF(C9="","",K9/C9)</f>
        <v/>
      </c>
      <c r="M9">
        <f>IF(C9="","",IF(AND(L9&gt;=0.2,D9&gt;=100),"GO",IF(L9&gt;=0.2,"GO (validar demanda)",IF(L9&gt;=0.12,"AJUSTAR COSTO","NO GO"))))</f>
        <v/>
      </c>
    </row>
    <row r="10">
      <c r="C10" s="2" t="n"/>
      <c r="F10" s="2" t="n"/>
      <c r="G10" s="3" t="n"/>
      <c r="H10" s="2" t="n"/>
      <c r="I10" s="2" t="n"/>
      <c r="J10" s="2">
        <f>IF(C10="","",C10*G10)</f>
        <v/>
      </c>
      <c r="K10" s="2">
        <f>IF(C10="","",C10-F10-J10-H10-I10)</f>
        <v/>
      </c>
      <c r="L10" s="3">
        <f>IF(C10="","",K10/C10)</f>
        <v/>
      </c>
      <c r="M10">
        <f>IF(C10="","",IF(AND(L10&gt;=0.2,D10&gt;=100),"GO",IF(L10&gt;=0.2,"GO (validar demanda)",IF(L10&gt;=0.12,"AJUSTAR COSTO","NO GO"))))</f>
        <v/>
      </c>
    </row>
    <row r="11">
      <c r="C11" s="2" t="n"/>
      <c r="F11" s="2" t="n"/>
      <c r="G11" s="3" t="n"/>
      <c r="H11" s="2" t="n"/>
      <c r="I11" s="2" t="n"/>
      <c r="J11" s="2">
        <f>IF(C11="","",C11*G11)</f>
        <v/>
      </c>
      <c r="K11" s="2">
        <f>IF(C11="","",C11-F11-J11-H11-I11)</f>
        <v/>
      </c>
      <c r="L11" s="3">
        <f>IF(C11="","",K11/C11)</f>
        <v/>
      </c>
      <c r="M11">
        <f>IF(C11="","",IF(AND(L11&gt;=0.2,D11&gt;=100),"GO",IF(L11&gt;=0.2,"GO (validar demanda)",IF(L11&gt;=0.12,"AJUSTAR COSTO","NO GO"))))</f>
        <v/>
      </c>
    </row>
    <row r="12">
      <c r="C12" s="2" t="n"/>
      <c r="F12" s="2" t="n"/>
      <c r="G12" s="3" t="n"/>
      <c r="H12" s="2" t="n"/>
      <c r="I12" s="2" t="n"/>
      <c r="J12" s="2">
        <f>IF(C12="","",C12*G12)</f>
        <v/>
      </c>
      <c r="K12" s="2">
        <f>IF(C12="","",C12-F12-J12-H12-I12)</f>
        <v/>
      </c>
      <c r="L12" s="3">
        <f>IF(C12="","",K12/C12)</f>
        <v/>
      </c>
      <c r="M12">
        <f>IF(C12="","",IF(AND(L12&gt;=0.2,D12&gt;=100),"GO",IF(L12&gt;=0.2,"GO (validar demanda)",IF(L12&gt;=0.12,"AJUSTAR COSTO","NO GO"))))</f>
        <v/>
      </c>
    </row>
    <row r="13">
      <c r="C13" s="2" t="n"/>
      <c r="F13" s="2" t="n"/>
      <c r="G13" s="3" t="n"/>
      <c r="H13" s="2" t="n"/>
      <c r="I13" s="2" t="n"/>
      <c r="J13" s="2">
        <f>IF(C13="","",C13*G13)</f>
        <v/>
      </c>
      <c r="K13" s="2">
        <f>IF(C13="","",C13-F13-J13-H13-I13)</f>
        <v/>
      </c>
      <c r="L13" s="3">
        <f>IF(C13="","",K13/C13)</f>
        <v/>
      </c>
      <c r="M13">
        <f>IF(C13="","",IF(AND(L13&gt;=0.2,D13&gt;=100),"GO",IF(L13&gt;=0.2,"GO (validar demanda)",IF(L13&gt;=0.12,"AJUSTAR COSTO","NO GO"))))</f>
        <v/>
      </c>
    </row>
    <row r="14">
      <c r="C14" s="2" t="n"/>
      <c r="F14" s="2" t="n"/>
      <c r="G14" s="3" t="n"/>
      <c r="H14" s="2" t="n"/>
      <c r="I14" s="2" t="n"/>
      <c r="J14" s="2">
        <f>IF(C14="","",C14*G14)</f>
        <v/>
      </c>
      <c r="K14" s="2">
        <f>IF(C14="","",C14-F14-J14-H14-I14)</f>
        <v/>
      </c>
      <c r="L14" s="3">
        <f>IF(C14="","",K14/C14)</f>
        <v/>
      </c>
      <c r="M14">
        <f>IF(C14="","",IF(AND(L14&gt;=0.2,D14&gt;=100),"GO",IF(L14&gt;=0.2,"GO (validar demanda)",IF(L14&gt;=0.12,"AJUSTAR COSTO","NO GO"))))</f>
        <v/>
      </c>
    </row>
    <row r="15">
      <c r="C15" s="2" t="n"/>
      <c r="F15" s="2" t="n"/>
      <c r="G15" s="3" t="n"/>
      <c r="H15" s="2" t="n"/>
      <c r="I15" s="2" t="n"/>
      <c r="J15" s="2">
        <f>IF(C15="","",C15*G15)</f>
        <v/>
      </c>
      <c r="K15" s="2">
        <f>IF(C15="","",C15-F15-J15-H15-I15)</f>
        <v/>
      </c>
      <c r="L15" s="3">
        <f>IF(C15="","",K15/C15)</f>
        <v/>
      </c>
      <c r="M15">
        <f>IF(C15="","",IF(AND(L15&gt;=0.2,D15&gt;=100),"GO",IF(L15&gt;=0.2,"GO (validar demanda)",IF(L15&gt;=0.12,"AJUSTAR COSTO","NO GO"))))</f>
        <v/>
      </c>
    </row>
    <row r="16">
      <c r="C16" s="2" t="n"/>
      <c r="F16" s="2" t="n"/>
      <c r="G16" s="3" t="n"/>
      <c r="H16" s="2" t="n"/>
      <c r="I16" s="2" t="n"/>
      <c r="J16" s="2">
        <f>IF(C16="","",C16*G16)</f>
        <v/>
      </c>
      <c r="K16" s="2">
        <f>IF(C16="","",C16-F16-J16-H16-I16)</f>
        <v/>
      </c>
      <c r="L16" s="3">
        <f>IF(C16="","",K16/C16)</f>
        <v/>
      </c>
      <c r="M16">
        <f>IF(C16="","",IF(AND(L16&gt;=0.2,D16&gt;=100),"GO",IF(L16&gt;=0.2,"GO (validar demanda)",IF(L16&gt;=0.12,"AJUSTAR COSTO","NO GO"))))</f>
        <v/>
      </c>
    </row>
    <row r="17">
      <c r="C17" s="2" t="n"/>
      <c r="F17" s="2" t="n"/>
      <c r="G17" s="3" t="n"/>
      <c r="H17" s="2" t="n"/>
      <c r="I17" s="2" t="n"/>
      <c r="J17" s="2">
        <f>IF(C17="","",C17*G17)</f>
        <v/>
      </c>
      <c r="K17" s="2">
        <f>IF(C17="","",C17-F17-J17-H17-I17)</f>
        <v/>
      </c>
      <c r="L17" s="3">
        <f>IF(C17="","",K17/C17)</f>
        <v/>
      </c>
      <c r="M17">
        <f>IF(C17="","",IF(AND(L17&gt;=0.2,D17&gt;=100),"GO",IF(L17&gt;=0.2,"GO (validar demanda)",IF(L17&gt;=0.12,"AJUSTAR COSTO","NO GO"))))</f>
        <v/>
      </c>
    </row>
    <row r="18">
      <c r="C18" s="2" t="n"/>
      <c r="F18" s="2" t="n"/>
      <c r="G18" s="3" t="n"/>
      <c r="H18" s="2" t="n"/>
      <c r="I18" s="2" t="n"/>
      <c r="J18" s="2">
        <f>IF(C18="","",C18*G18)</f>
        <v/>
      </c>
      <c r="K18" s="2">
        <f>IF(C18="","",C18-F18-J18-H18-I18)</f>
        <v/>
      </c>
      <c r="L18" s="3">
        <f>IF(C18="","",K18/C18)</f>
        <v/>
      </c>
      <c r="M18">
        <f>IF(C18="","",IF(AND(L18&gt;=0.2,D18&gt;=100),"GO",IF(L18&gt;=0.2,"GO (validar demanda)",IF(L18&gt;=0.12,"AJUSTAR COSTO","NO GO"))))</f>
        <v/>
      </c>
    </row>
    <row r="19">
      <c r="C19" s="2" t="n"/>
      <c r="F19" s="2" t="n"/>
      <c r="G19" s="3" t="n"/>
      <c r="H19" s="2" t="n"/>
      <c r="I19" s="2" t="n"/>
      <c r="J19" s="2">
        <f>IF(C19="","",C19*G19)</f>
        <v/>
      </c>
      <c r="K19" s="2">
        <f>IF(C19="","",C19-F19-J19-H19-I19)</f>
        <v/>
      </c>
      <c r="L19" s="3">
        <f>IF(C19="","",K19/C19)</f>
        <v/>
      </c>
      <c r="M19">
        <f>IF(C19="","",IF(AND(L19&gt;=0.2,D19&gt;=100),"GO",IF(L19&gt;=0.2,"GO (validar demanda)",IF(L19&gt;=0.12,"AJUSTAR COSTO","NO GO"))))</f>
        <v/>
      </c>
    </row>
    <row r="20">
      <c r="C20" s="2" t="n"/>
      <c r="F20" s="2" t="n"/>
      <c r="G20" s="3" t="n"/>
      <c r="H20" s="2" t="n"/>
      <c r="I20" s="2" t="n"/>
      <c r="J20" s="2">
        <f>IF(C20="","",C20*G20)</f>
        <v/>
      </c>
      <c r="K20" s="2">
        <f>IF(C20="","",C20-F20-J20-H20-I20)</f>
        <v/>
      </c>
      <c r="L20" s="3">
        <f>IF(C20="","",K20/C20)</f>
        <v/>
      </c>
      <c r="M20">
        <f>IF(C20="","",IF(AND(L20&gt;=0.2,D20&gt;=100),"GO",IF(L20&gt;=0.2,"GO (validar demanda)",IF(L20&gt;=0.12,"AJUSTAR COSTO","NO GO"))))</f>
        <v/>
      </c>
    </row>
    <row r="21">
      <c r="C21" s="2" t="n"/>
      <c r="F21" s="2" t="n"/>
      <c r="G21" s="3" t="n"/>
      <c r="H21" s="2" t="n"/>
      <c r="I21" s="2" t="n"/>
      <c r="J21" s="2">
        <f>IF(C21="","",C21*G21)</f>
        <v/>
      </c>
      <c r="K21" s="2">
        <f>IF(C21="","",C21-F21-J21-H21-I21)</f>
        <v/>
      </c>
      <c r="L21" s="3">
        <f>IF(C21="","",K21/C21)</f>
        <v/>
      </c>
      <c r="M21">
        <f>IF(C21="","",IF(AND(L21&gt;=0.2,D21&gt;=100),"GO",IF(L21&gt;=0.2,"GO (validar demanda)",IF(L21&gt;=0.12,"AJUSTAR COSTO","NO GO"))))</f>
        <v/>
      </c>
    </row>
    <row r="22">
      <c r="C22" s="2" t="n"/>
      <c r="F22" s="2" t="n"/>
      <c r="G22" s="3" t="n"/>
      <c r="H22" s="2" t="n"/>
      <c r="I22" s="2" t="n"/>
      <c r="J22" s="2">
        <f>IF(C22="","",C22*G22)</f>
        <v/>
      </c>
      <c r="K22" s="2">
        <f>IF(C22="","",C22-F22-J22-H22-I22)</f>
        <v/>
      </c>
      <c r="L22" s="3">
        <f>IF(C22="","",K22/C22)</f>
        <v/>
      </c>
      <c r="M22">
        <f>IF(C22="","",IF(AND(L22&gt;=0.2,D22&gt;=100),"GO",IF(L22&gt;=0.2,"GO (validar demanda)",IF(L22&gt;=0.12,"AJUSTAR COSTO","NO GO"))))</f>
        <v/>
      </c>
    </row>
    <row r="23">
      <c r="C23" s="2" t="n"/>
      <c r="F23" s="2" t="n"/>
      <c r="G23" s="3" t="n"/>
      <c r="H23" s="2" t="n"/>
      <c r="I23" s="2" t="n"/>
      <c r="J23" s="2">
        <f>IF(C23="","",C23*G23)</f>
        <v/>
      </c>
      <c r="K23" s="2">
        <f>IF(C23="","",C23-F23-J23-H23-I23)</f>
        <v/>
      </c>
      <c r="L23" s="3">
        <f>IF(C23="","",K23/C23)</f>
        <v/>
      </c>
      <c r="M23">
        <f>IF(C23="","",IF(AND(L23&gt;=0.2,D23&gt;=100),"GO",IF(L23&gt;=0.2,"GO (validar demanda)",IF(L23&gt;=0.12,"AJUSTAR COSTO","NO GO"))))</f>
        <v/>
      </c>
    </row>
    <row r="24">
      <c r="C24" s="2" t="n"/>
      <c r="F24" s="2" t="n"/>
      <c r="G24" s="3" t="n"/>
      <c r="H24" s="2" t="n"/>
      <c r="I24" s="2" t="n"/>
      <c r="J24" s="2">
        <f>IF(C24="","",C24*G24)</f>
        <v/>
      </c>
      <c r="K24" s="2">
        <f>IF(C24="","",C24-F24-J24-H24-I24)</f>
        <v/>
      </c>
      <c r="L24" s="3">
        <f>IF(C24="","",K24/C24)</f>
        <v/>
      </c>
      <c r="M24">
        <f>IF(C24="","",IF(AND(L24&gt;=0.2,D24&gt;=100),"GO",IF(L24&gt;=0.2,"GO (validar demanda)",IF(L24&gt;=0.12,"AJUSTAR COSTO","NO GO"))))</f>
        <v/>
      </c>
    </row>
    <row r="25">
      <c r="C25" s="2" t="n"/>
      <c r="F25" s="2" t="n"/>
      <c r="G25" s="3" t="n"/>
      <c r="H25" s="2" t="n"/>
      <c r="I25" s="2" t="n"/>
      <c r="J25" s="2">
        <f>IF(C25="","",C25*G25)</f>
        <v/>
      </c>
      <c r="K25" s="2">
        <f>IF(C25="","",C25-F25-J25-H25-I25)</f>
        <v/>
      </c>
      <c r="L25" s="3">
        <f>IF(C25="","",K25/C25)</f>
        <v/>
      </c>
      <c r="M25">
        <f>IF(C25="","",IF(AND(L25&gt;=0.2,D25&gt;=100),"GO",IF(L25&gt;=0.2,"GO (validar demanda)",IF(L25&gt;=0.12,"AJUSTAR COSTO","NO GO"))))</f>
        <v/>
      </c>
    </row>
    <row r="26">
      <c r="C26" s="2" t="n"/>
      <c r="F26" s="2" t="n"/>
      <c r="G26" s="3" t="n"/>
      <c r="H26" s="2" t="n"/>
      <c r="I26" s="2" t="n"/>
      <c r="J26" s="2">
        <f>IF(C26="","",C26*G26)</f>
        <v/>
      </c>
      <c r="K26" s="2">
        <f>IF(C26="","",C26-F26-J26-H26-I26)</f>
        <v/>
      </c>
      <c r="L26" s="3">
        <f>IF(C26="","",K26/C26)</f>
        <v/>
      </c>
      <c r="M26">
        <f>IF(C26="","",IF(AND(L26&gt;=0.2,D26&gt;=100),"GO",IF(L26&gt;=0.2,"GO (validar demanda)",IF(L26&gt;=0.12,"AJUSTAR COSTO","NO GO"))))</f>
        <v/>
      </c>
    </row>
    <row r="27">
      <c r="C27" s="2" t="n"/>
      <c r="F27" s="2" t="n"/>
      <c r="G27" s="3" t="n"/>
      <c r="H27" s="2" t="n"/>
      <c r="I27" s="2" t="n"/>
      <c r="J27" s="2">
        <f>IF(C27="","",C27*G27)</f>
        <v/>
      </c>
      <c r="K27" s="2">
        <f>IF(C27="","",C27-F27-J27-H27-I27)</f>
        <v/>
      </c>
      <c r="L27" s="3">
        <f>IF(C27="","",K27/C27)</f>
        <v/>
      </c>
      <c r="M27">
        <f>IF(C27="","",IF(AND(L27&gt;=0.2,D27&gt;=100),"GO",IF(L27&gt;=0.2,"GO (validar demanda)",IF(L27&gt;=0.12,"AJUSTAR COSTO","NO GO"))))</f>
        <v/>
      </c>
    </row>
    <row r="28">
      <c r="C28" s="2" t="n"/>
      <c r="F28" s="2" t="n"/>
      <c r="G28" s="3" t="n"/>
      <c r="H28" s="2" t="n"/>
      <c r="I28" s="2" t="n"/>
      <c r="J28" s="2">
        <f>IF(C28="","",C28*G28)</f>
        <v/>
      </c>
      <c r="K28" s="2">
        <f>IF(C28="","",C28-F28-J28-H28-I28)</f>
        <v/>
      </c>
      <c r="L28" s="3">
        <f>IF(C28="","",K28/C28)</f>
        <v/>
      </c>
      <c r="M28">
        <f>IF(C28="","",IF(AND(L28&gt;=0.2,D28&gt;=100),"GO",IF(L28&gt;=0.2,"GO (validar demanda)",IF(L28&gt;=0.12,"AJUSTAR COSTO","NO GO"))))</f>
        <v/>
      </c>
    </row>
    <row r="29">
      <c r="C29" s="2" t="n"/>
      <c r="F29" s="2" t="n"/>
      <c r="G29" s="3" t="n"/>
      <c r="H29" s="2" t="n"/>
      <c r="I29" s="2" t="n"/>
      <c r="J29" s="2">
        <f>IF(C29="","",C29*G29)</f>
        <v/>
      </c>
      <c r="K29" s="2">
        <f>IF(C29="","",C29-F29-J29-H29-I29)</f>
        <v/>
      </c>
      <c r="L29" s="3">
        <f>IF(C29="","",K29/C29)</f>
        <v/>
      </c>
      <c r="M29">
        <f>IF(C29="","",IF(AND(L29&gt;=0.2,D29&gt;=100),"GO",IF(L29&gt;=0.2,"GO (validar demanda)",IF(L29&gt;=0.12,"AJUSTAR COSTO","NO GO"))))</f>
        <v/>
      </c>
    </row>
    <row r="30">
      <c r="C30" s="2" t="n"/>
      <c r="F30" s="2" t="n"/>
      <c r="G30" s="3" t="n"/>
      <c r="H30" s="2" t="n"/>
      <c r="I30" s="2" t="n"/>
      <c r="J30" s="2">
        <f>IF(C30="","",C30*G30)</f>
        <v/>
      </c>
      <c r="K30" s="2">
        <f>IF(C30="","",C30-F30-J30-H30-I30)</f>
        <v/>
      </c>
      <c r="L30" s="3">
        <f>IF(C30="","",K30/C30)</f>
        <v/>
      </c>
      <c r="M30">
        <f>IF(C30="","",IF(AND(L30&gt;=0.2,D30&gt;=100),"GO",IF(L30&gt;=0.2,"GO (validar demanda)",IF(L30&gt;=0.12,"AJUSTAR COSTO","NO GO"))))</f>
        <v/>
      </c>
    </row>
    <row r="31">
      <c r="C31" s="2" t="n"/>
      <c r="F31" s="2" t="n"/>
      <c r="G31" s="3" t="n"/>
      <c r="H31" s="2" t="n"/>
      <c r="I31" s="2" t="n"/>
      <c r="J31" s="2">
        <f>IF(C31="","",C31*G31)</f>
        <v/>
      </c>
      <c r="K31" s="2">
        <f>IF(C31="","",C31-F31-J31-H31-I31)</f>
        <v/>
      </c>
      <c r="L31" s="3">
        <f>IF(C31="","",K31/C31)</f>
        <v/>
      </c>
      <c r="M31">
        <f>IF(C31="","",IF(AND(L31&gt;=0.2,D31&gt;=100),"GO",IF(L31&gt;=0.2,"GO (validar demanda)",IF(L31&gt;=0.12,"AJUSTAR COSTO","NO GO"))))</f>
        <v/>
      </c>
    </row>
    <row r="32">
      <c r="C32" s="2" t="n"/>
      <c r="F32" s="2" t="n"/>
      <c r="G32" s="3" t="n"/>
      <c r="H32" s="2" t="n"/>
      <c r="I32" s="2" t="n"/>
      <c r="J32" s="2">
        <f>IF(C32="","",C32*G32)</f>
        <v/>
      </c>
      <c r="K32" s="2">
        <f>IF(C32="","",C32-F32-J32-H32-I32)</f>
        <v/>
      </c>
      <c r="L32" s="3">
        <f>IF(C32="","",K32/C32)</f>
        <v/>
      </c>
      <c r="M32">
        <f>IF(C32="","",IF(AND(L32&gt;=0.2,D32&gt;=100),"GO",IF(L32&gt;=0.2,"GO (validar demanda)",IF(L32&gt;=0.12,"AJUSTAR COSTO","NO GO"))))</f>
        <v/>
      </c>
    </row>
    <row r="33">
      <c r="C33" s="2" t="n"/>
      <c r="F33" s="2" t="n"/>
      <c r="G33" s="3" t="n"/>
      <c r="H33" s="2" t="n"/>
      <c r="I33" s="2" t="n"/>
      <c r="J33" s="2">
        <f>IF(C33="","",C33*G33)</f>
        <v/>
      </c>
      <c r="K33" s="2">
        <f>IF(C33="","",C33-F33-J33-H33-I33)</f>
        <v/>
      </c>
      <c r="L33" s="3">
        <f>IF(C33="","",K33/C33)</f>
        <v/>
      </c>
      <c r="M33">
        <f>IF(C33="","",IF(AND(L33&gt;=0.2,D33&gt;=100),"GO",IF(L33&gt;=0.2,"GO (validar demanda)",IF(L33&gt;=0.12,"AJUSTAR COSTO","NO GO"))))</f>
        <v/>
      </c>
    </row>
    <row r="34">
      <c r="C34" s="2" t="n"/>
      <c r="F34" s="2" t="n"/>
      <c r="G34" s="3" t="n"/>
      <c r="H34" s="2" t="n"/>
      <c r="I34" s="2" t="n"/>
      <c r="J34" s="2">
        <f>IF(C34="","",C34*G34)</f>
        <v/>
      </c>
      <c r="K34" s="2">
        <f>IF(C34="","",C34-F34-J34-H34-I34)</f>
        <v/>
      </c>
      <c r="L34" s="3">
        <f>IF(C34="","",K34/C34)</f>
        <v/>
      </c>
      <c r="M34">
        <f>IF(C34="","",IF(AND(L34&gt;=0.2,D34&gt;=100),"GO",IF(L34&gt;=0.2,"GO (validar demanda)",IF(L34&gt;=0.12,"AJUSTAR COSTO","NO GO"))))</f>
        <v/>
      </c>
    </row>
    <row r="35">
      <c r="C35" s="2" t="n"/>
      <c r="F35" s="2" t="n"/>
      <c r="G35" s="3" t="n"/>
      <c r="H35" s="2" t="n"/>
      <c r="I35" s="2" t="n"/>
      <c r="J35" s="2">
        <f>IF(C35="","",C35*G35)</f>
        <v/>
      </c>
      <c r="K35" s="2">
        <f>IF(C35="","",C35-F35-J35-H35-I35)</f>
        <v/>
      </c>
      <c r="L35" s="3">
        <f>IF(C35="","",K35/C35)</f>
        <v/>
      </c>
      <c r="M35">
        <f>IF(C35="","",IF(AND(L35&gt;=0.2,D35&gt;=100),"GO",IF(L35&gt;=0.2,"GO (validar demanda)",IF(L35&gt;=0.12,"AJUSTAR COSTO","NO GO"))))</f>
        <v/>
      </c>
    </row>
    <row r="36">
      <c r="C36" s="2" t="n"/>
      <c r="F36" s="2" t="n"/>
      <c r="G36" s="3" t="n"/>
      <c r="H36" s="2" t="n"/>
      <c r="I36" s="2" t="n"/>
      <c r="J36" s="2">
        <f>IF(C36="","",C36*G36)</f>
        <v/>
      </c>
      <c r="K36" s="2">
        <f>IF(C36="","",C36-F36-J36-H36-I36)</f>
        <v/>
      </c>
      <c r="L36" s="3">
        <f>IF(C36="","",K36/C36)</f>
        <v/>
      </c>
      <c r="M36">
        <f>IF(C36="","",IF(AND(L36&gt;=0.2,D36&gt;=100),"GO",IF(L36&gt;=0.2,"GO (validar demanda)",IF(L36&gt;=0.12,"AJUSTAR COSTO","NO GO"))))</f>
        <v/>
      </c>
    </row>
    <row r="37">
      <c r="C37" s="2" t="n"/>
      <c r="F37" s="2" t="n"/>
      <c r="G37" s="3" t="n"/>
      <c r="H37" s="2" t="n"/>
      <c r="I37" s="2" t="n"/>
      <c r="J37" s="2">
        <f>IF(C37="","",C37*G37)</f>
        <v/>
      </c>
      <c r="K37" s="2">
        <f>IF(C37="","",C37-F37-J37-H37-I37)</f>
        <v/>
      </c>
      <c r="L37" s="3">
        <f>IF(C37="","",K37/C37)</f>
        <v/>
      </c>
      <c r="M37">
        <f>IF(C37="","",IF(AND(L37&gt;=0.2,D37&gt;=100),"GO",IF(L37&gt;=0.2,"GO (validar demanda)",IF(L37&gt;=0.12,"AJUSTAR COSTO","NO GO"))))</f>
        <v/>
      </c>
    </row>
    <row r="38">
      <c r="C38" s="2" t="n"/>
      <c r="F38" s="2" t="n"/>
      <c r="G38" s="3" t="n"/>
      <c r="H38" s="2" t="n"/>
      <c r="I38" s="2" t="n"/>
      <c r="J38" s="2">
        <f>IF(C38="","",C38*G38)</f>
        <v/>
      </c>
      <c r="K38" s="2">
        <f>IF(C38="","",C38-F38-J38-H38-I38)</f>
        <v/>
      </c>
      <c r="L38" s="3">
        <f>IF(C38="","",K38/C38)</f>
        <v/>
      </c>
      <c r="M38">
        <f>IF(C38="","",IF(AND(L38&gt;=0.2,D38&gt;=100),"GO",IF(L38&gt;=0.2,"GO (validar demanda)",IF(L38&gt;=0.12,"AJUSTAR COSTO","NO GO"))))</f>
        <v/>
      </c>
    </row>
    <row r="39">
      <c r="C39" s="2" t="n"/>
      <c r="F39" s="2" t="n"/>
      <c r="G39" s="3" t="n"/>
      <c r="H39" s="2" t="n"/>
      <c r="I39" s="2" t="n"/>
      <c r="J39" s="2">
        <f>IF(C39="","",C39*G39)</f>
        <v/>
      </c>
      <c r="K39" s="2">
        <f>IF(C39="","",C39-F39-J39-H39-I39)</f>
        <v/>
      </c>
      <c r="L39" s="3">
        <f>IF(C39="","",K39/C39)</f>
        <v/>
      </c>
      <c r="M39">
        <f>IF(C39="","",IF(AND(L39&gt;=0.2,D39&gt;=100),"GO",IF(L39&gt;=0.2,"GO (validar demanda)",IF(L39&gt;=0.12,"AJUSTAR COSTO","NO GO"))))</f>
        <v/>
      </c>
    </row>
    <row r="40">
      <c r="C40" s="2" t="n"/>
      <c r="F40" s="2" t="n"/>
      <c r="G40" s="3" t="n"/>
      <c r="H40" s="2" t="n"/>
      <c r="I40" s="2" t="n"/>
      <c r="J40" s="2">
        <f>IF(C40="","",C40*G40)</f>
        <v/>
      </c>
      <c r="K40" s="2">
        <f>IF(C40="","",C40-F40-J40-H40-I40)</f>
        <v/>
      </c>
      <c r="L40" s="3">
        <f>IF(C40="","",K40/C40)</f>
        <v/>
      </c>
      <c r="M40">
        <f>IF(C40="","",IF(AND(L40&gt;=0.2,D40&gt;=100),"GO",IF(L40&gt;=0.2,"GO (validar demanda)",IF(L40&gt;=0.12,"AJUSTAR COSTO","NO GO"))))</f>
        <v/>
      </c>
    </row>
    <row r="41">
      <c r="C41" s="2" t="n"/>
      <c r="F41" s="2" t="n"/>
      <c r="G41" s="3" t="n"/>
      <c r="H41" s="2" t="n"/>
      <c r="I41" s="2" t="n"/>
      <c r="J41" s="2">
        <f>IF(C41="","",C41*G41)</f>
        <v/>
      </c>
      <c r="K41" s="2">
        <f>IF(C41="","",C41-F41-J41-H41-I41)</f>
        <v/>
      </c>
      <c r="L41" s="3">
        <f>IF(C41="","",K41/C41)</f>
        <v/>
      </c>
      <c r="M41">
        <f>IF(C41="","",IF(AND(L41&gt;=0.2,D41&gt;=100),"GO",IF(L41&gt;=0.2,"GO (validar demanda)",IF(L41&gt;=0.12,"AJUSTAR COSTO","NO GO"))))</f>
        <v/>
      </c>
    </row>
  </sheetData>
  <dataValidations count="1">
    <dataValidation sqref="G2:G41" showDropDown="0" showInputMessage="0" showErrorMessage="0" allowBlank="1" type="list">
      <formula1>"0.13,0.16,0.18,0.20"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45" customWidth="1" min="3" max="3"/>
  </cols>
  <sheetData>
    <row r="1">
      <c r="A1" s="1" t="inlineStr">
        <is>
          <t>CONCEPTO</t>
        </is>
      </c>
      <c r="B1" s="1" t="inlineStr">
        <is>
          <t>VALOR DE REFERENCIA</t>
        </is>
      </c>
      <c r="C1" s="1" t="inlineStr">
        <is>
          <t>NOTA</t>
        </is>
      </c>
    </row>
    <row r="2">
      <c r="A2" t="inlineStr">
        <is>
          <t>Comision ML publicacion clasica</t>
        </is>
      </c>
      <c r="B2" t="inlineStr">
        <is>
          <t>~13%</t>
        </is>
      </c>
      <c r="C2" t="inlineStr">
        <is>
          <t>Menos exposicion, sin cuotas</t>
        </is>
      </c>
    </row>
    <row r="3">
      <c r="A3" t="inlineStr">
        <is>
          <t>Comision ML publicacion premium</t>
        </is>
      </c>
      <c r="B3" t="inlineStr">
        <is>
          <t>~16-18% segun categoria</t>
        </is>
      </c>
      <c r="C3" t="inlineStr">
        <is>
          <t>Mas exposicion + pago a cuotas</t>
        </is>
      </c>
    </row>
    <row r="4">
      <c r="A4" t="inlineStr">
        <is>
          <t>VERIFICAR comisiones exactas</t>
        </is>
      </c>
      <c r="B4" t="inlineStr">
        <is>
          <t>mercadolibre.com.co -&gt; Costos de vender</t>
        </is>
      </c>
      <c r="C4" t="inlineStr">
        <is>
          <t>Cambian por categoria — confirmar antes de publicar</t>
        </is>
      </c>
    </row>
    <row r="5">
      <c r="A5" t="inlineStr">
        <is>
          <t>Envio gratis obligatorio</t>
        </is>
      </c>
      <c r="B5" t="inlineStr">
        <is>
          <t>Productos desde ~$60.000: el vendedor subsidia parte</t>
        </is>
      </c>
      <c r="C5" t="inlineStr">
        <is>
          <t>Ver tabla de Mercado Envios vigente</t>
        </is>
      </c>
    </row>
    <row r="6">
      <c r="A6" t="inlineStr">
        <is>
          <t>Reputacion nueva</t>
        </is>
      </c>
      <c r="B6" t="inlineStr">
        <is>
          <t>Primeras ~10 ventas sin termometro</t>
        </is>
      </c>
      <c r="C6" t="inlineStr">
        <is>
          <t>Precio agresivo al arrancar; despachar YA; cero reclamos</t>
        </is>
      </c>
    </row>
    <row r="7">
      <c r="A7" t="inlineStr">
        <is>
          <t>4x1000</t>
        </is>
      </c>
      <c r="B7" t="inlineStr">
        <is>
          <t>0,4% de cada retiro bancario</t>
        </is>
      </c>
      <c r="C7" t="inlineStr">
        <is>
          <t>Va en "otros costos"</t>
        </is>
      </c>
    </row>
    <row r="8">
      <c r="A8" t="inlineStr">
        <is>
          <t>Devoluciones</t>
        </is>
      </c>
      <c r="B8" t="inlineStr">
        <is>
          <t>Presupuestar 3-5% de las ventas</t>
        </is>
      </c>
      <c r="C8" t="inlineStr">
        <is>
          <t>ML favorece al comprador</t>
        </is>
      </c>
    </row>
    <row r="9">
      <c r="A9" t="inlineStr">
        <is>
          <t>REGLA GO</t>
        </is>
      </c>
      <c r="B9" t="inlineStr">
        <is>
          <t>Margen neto &gt;= 20% Y demanda visible (+100 vendidos del lider)</t>
        </is>
      </c>
      <c r="C9" t="inlineStr">
        <is>
          <t>Debajo de 12% no es negocio: es trasteo</t>
        </is>
      </c>
    </row>
    <row r="10">
      <c r="A10" t="inlineStr">
        <is>
          <t>REGLA DE ORO</t>
        </is>
      </c>
      <c r="B10" t="inlineStr">
        <is>
          <t>Primero medir en ML que se vende -&gt; DESPUES buscar la distribucion de eso</t>
        </is>
      </c>
      <c r="C10" t="inlineStr">
        <is>
          <t>Nunca al reves</t>
        </is>
      </c>
    </row>
    <row r="11">
      <c r="A11" t="inlineStr">
        <is>
          <t>La ventaja real</t>
        </is>
      </c>
      <c r="B11" t="inlineStr">
        <is>
          <t>No es publicar en ML (eso lo hace cualquiera): es el costo de distribuidor que otros no tienen</t>
        </is>
      </c>
      <c r="C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COMO SE USA ESTE ANALIZADOR (10 minutos por producto)</t>
        </is>
      </c>
    </row>
    <row r="2">
      <c r="A2" t="inlineStr"/>
    </row>
    <row r="3">
      <c r="A3" t="inlineStr">
        <is>
          <t>1. En el navegador: buscar el producto en mercadolibre.com.co. Ordenar por "Mas vendidos" o mirar los primeros resultados.</t>
        </is>
      </c>
    </row>
    <row r="4">
      <c r="A4" t="inlineStr">
        <is>
          <t>2. Del lider de la busqueda copiar: precio, "+N vendidos" (aparece bajo el titulo del producto), y contar cuantos vendedores con reputacion verde venden lo mismo.</t>
        </is>
      </c>
    </row>
    <row r="5">
      <c r="A5" t="inlineStr">
        <is>
          <t>3. Conseguir COTIZACION REAL del producto (distribuidor, mayorista, fabricante). Sin cotizacion real no se llena la fila — el video de Instagram no es una cotizacion.</t>
        </is>
      </c>
    </row>
    <row r="6">
      <c r="A6" t="inlineStr">
        <is>
          <t>4. Llenar la fila en CANDIDATOS. Las columnas J-M se calculan solas.</t>
        </is>
      </c>
    </row>
    <row r="7">
      <c r="A7" t="inlineStr">
        <is>
          <t>5. Veredicto GO = margen neto &gt;= 20% con demanda probada. Solo entonces: pedido de PRUEBA chico (10-30 unidades), venderlo COMPLETO, medir rotacion real.</t>
        </is>
      </c>
    </row>
    <row r="8">
      <c r="A8" t="inlineStr">
        <is>
          <t>6. Si la prueba rota en menos de 45 dias con el margen previsto: escalar. Si no: siguiente producto. La plata se decide con este cuadro, jamas con un reel.</t>
        </is>
      </c>
    </row>
    <row r="9">
      <c r="A9" t="inlineStr"/>
    </row>
    <row r="10">
      <c r="A10" t="inlineStr">
        <is>
          <t>AUTOMATIZACION: el script ml_dashboard_api.py de esta carpeta llena candidatos automaticamente con los mas vendidos por categoria de la API oficial de ML (requiere token gratuito — ver instrucciones en el script).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2026-09-15T16:38:29Z</dcterms:created>
  <dcterms:modified xmlns:dcterms="http://purl.org/dc/terms/" xmlns:xsi="http://www.w3.org/2001/XMLSchema-instance" xsi:type="dcterms:W3CDTF">2026-09-15T16:38:29Z</dcterms:modified>
</cp:coreProperties>
</file>